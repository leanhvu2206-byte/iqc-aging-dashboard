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40009_{7A24A2C6-C720-49C2-B23D-054ACA411643}" xr6:coauthVersionLast="36" xr6:coauthVersionMax="36" xr10:uidLastSave="{00000000-0000-0000-0000-000000000000}"/>
  <bookViews>
    <workbookView xWindow="0" yWindow="0" windowWidth="23040" windowHeight="9060"/>
  </bookViews>
  <sheets>
    <sheet name="Sheet2" sheetId="2" r:id="rId1"/>
  </sheets>
  <externalReferences>
    <externalReference r:id="rId2"/>
  </externalReferences>
  <definedNames>
    <definedName name="_xlnm._FilterDatabase" localSheetId="0" hidden="1">Sheet2!$A$1:$L$508</definedName>
  </definedNames>
  <calcPr calcId="191029"/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2" i="2"/>
</calcChain>
</file>

<file path=xl/sharedStrings.xml><?xml version="1.0" encoding="utf-8"?>
<sst xmlns="http://schemas.openxmlformats.org/spreadsheetml/2006/main" count="2040" uniqueCount="753">
  <si>
    <t>Item</t>
  </si>
  <si>
    <t>Date Created</t>
  </si>
  <si>
    <t>Location</t>
  </si>
  <si>
    <t>Item Receipt</t>
  </si>
  <si>
    <t>Line</t>
  </si>
  <si>
    <t>Quantity Received</t>
  </si>
  <si>
    <t>Quantity Approved (Total)</t>
  </si>
  <si>
    <t>Quantity In Quarantine</t>
  </si>
  <si>
    <t>Quantity To Inspect</t>
  </si>
  <si>
    <t>Inspection Category</t>
  </si>
  <si>
    <t>Vietnam : Long Thanh Building 21</t>
  </si>
  <si>
    <t>New Non Safety Critical</t>
  </si>
  <si>
    <t>Vietnam : Long Thanh Building 22</t>
  </si>
  <si>
    <t>20470-SA000</t>
  </si>
  <si>
    <t>QC Inspection Sample</t>
  </si>
  <si>
    <t>Item Receipt #330578</t>
  </si>
  <si>
    <t>2708</t>
  </si>
  <si>
    <t>QC Inspection 100%</t>
  </si>
  <si>
    <t>Item Receipt #327002</t>
  </si>
  <si>
    <t>Item Receipt #330146</t>
  </si>
  <si>
    <t>Item Receipt #330147</t>
  </si>
  <si>
    <t>31201180-BIG</t>
  </si>
  <si>
    <t>Item Receipt #329469</t>
  </si>
  <si>
    <t>31262039-BIG</t>
  </si>
  <si>
    <t>Item Receipt #329468</t>
  </si>
  <si>
    <t>3C256</t>
  </si>
  <si>
    <t>Item Receipt #330626</t>
  </si>
  <si>
    <t>3C257</t>
  </si>
  <si>
    <t>Item Receipt #330625</t>
  </si>
  <si>
    <t>48068-42050</t>
  </si>
  <si>
    <t>48069-42050</t>
  </si>
  <si>
    <t>Item Receipt #331261</t>
  </si>
  <si>
    <t>545003X000</t>
  </si>
  <si>
    <t>Item Receipt #325482</t>
  </si>
  <si>
    <t>5905R</t>
  </si>
  <si>
    <t>Item Receipt #330624</t>
  </si>
  <si>
    <t>5906L</t>
  </si>
  <si>
    <t>5906R</t>
  </si>
  <si>
    <t>5B006</t>
  </si>
  <si>
    <t>Item Receipt #326811</t>
  </si>
  <si>
    <t>5B009</t>
  </si>
  <si>
    <t>Item Receipt #330583</t>
  </si>
  <si>
    <t>5B034</t>
  </si>
  <si>
    <t>Item Receipt #326953</t>
  </si>
  <si>
    <t>5B041</t>
  </si>
  <si>
    <t>Item Receipt #329030</t>
  </si>
  <si>
    <t>5B051</t>
  </si>
  <si>
    <t>Item Receipt #326919</t>
  </si>
  <si>
    <t>5B057</t>
  </si>
  <si>
    <t>Item Receipt #331030</t>
  </si>
  <si>
    <t>Item Receipt #331031</t>
  </si>
  <si>
    <t>5B061</t>
  </si>
  <si>
    <t>Item Receipt #331281</t>
  </si>
  <si>
    <t>5B070</t>
  </si>
  <si>
    <t>Item Receipt #331285</t>
  </si>
  <si>
    <t>5B084</t>
  </si>
  <si>
    <t>Item Receipt #330406</t>
  </si>
  <si>
    <t>5B1023IC</t>
  </si>
  <si>
    <t>Assembly Build #ZVN4344748</t>
  </si>
  <si>
    <t>Assembly Build #ZVN4344749</t>
  </si>
  <si>
    <t>Assembly Build #ZVN4344750</t>
  </si>
  <si>
    <t>Assembly Build #ZVN4344751</t>
  </si>
  <si>
    <t>5B109</t>
  </si>
  <si>
    <t>5B118</t>
  </si>
  <si>
    <t>Item Receipt #326012</t>
  </si>
  <si>
    <t>5B123</t>
  </si>
  <si>
    <t>5B127</t>
  </si>
  <si>
    <t>Item Receipt #326806</t>
  </si>
  <si>
    <t>5B132</t>
  </si>
  <si>
    <t>Item Receipt #330133</t>
  </si>
  <si>
    <t>5B143</t>
  </si>
  <si>
    <t>5B519</t>
  </si>
  <si>
    <t>Item Receipt #329718</t>
  </si>
  <si>
    <t>5B547</t>
  </si>
  <si>
    <t>Item Receipt #327780</t>
  </si>
  <si>
    <t>5B807A</t>
  </si>
  <si>
    <t>Item Receipt #326318</t>
  </si>
  <si>
    <t>Item Receipt #330411</t>
  </si>
  <si>
    <t>5B834SS</t>
  </si>
  <si>
    <t>Item Receipt #331064</t>
  </si>
  <si>
    <t>5B839</t>
  </si>
  <si>
    <t>Item Receipt #328904</t>
  </si>
  <si>
    <t>5B845</t>
  </si>
  <si>
    <t>Item Receipt #327778</t>
  </si>
  <si>
    <t>Item Receipt #330407</t>
  </si>
  <si>
    <t>5B847</t>
  </si>
  <si>
    <t>Item Receipt #329324</t>
  </si>
  <si>
    <t>5B848</t>
  </si>
  <si>
    <t>Item Receipt #331292</t>
  </si>
  <si>
    <t>5B861</t>
  </si>
  <si>
    <t>Item Receipt #331283</t>
  </si>
  <si>
    <t>5B862</t>
  </si>
  <si>
    <t>5B899</t>
  </si>
  <si>
    <t>Item Receipt #331280</t>
  </si>
  <si>
    <t>5B904</t>
  </si>
  <si>
    <t>Item Receipt #330404</t>
  </si>
  <si>
    <t>5B909</t>
  </si>
  <si>
    <t>Item Receipt #329722</t>
  </si>
  <si>
    <t>5B914</t>
  </si>
  <si>
    <t>Item Receipt #326918</t>
  </si>
  <si>
    <t>5B915</t>
  </si>
  <si>
    <t>Item Receipt #329720</t>
  </si>
  <si>
    <t>5B917</t>
  </si>
  <si>
    <t>Item Receipt #331284</t>
  </si>
  <si>
    <t>5B941</t>
  </si>
  <si>
    <t>5B968</t>
  </si>
  <si>
    <t>Item Receipt #328765</t>
  </si>
  <si>
    <t>5B976</t>
  </si>
  <si>
    <t>Item Receipt #326688</t>
  </si>
  <si>
    <t>5EYE922</t>
  </si>
  <si>
    <t>Item Receipt #330022</t>
  </si>
  <si>
    <t>Item Receipt #331276</t>
  </si>
  <si>
    <t>5EYE924</t>
  </si>
  <si>
    <t>Item Receipt #331274</t>
  </si>
  <si>
    <t>5EYE932</t>
  </si>
  <si>
    <t>Item Receipt #330053</t>
  </si>
  <si>
    <t>5N003</t>
  </si>
  <si>
    <t>5N005</t>
  </si>
  <si>
    <t>Item Receipt #329723</t>
  </si>
  <si>
    <t>5N040</t>
  </si>
  <si>
    <t>Item Receipt #326010</t>
  </si>
  <si>
    <t>5N069</t>
  </si>
  <si>
    <t>Item Receipt #330405</t>
  </si>
  <si>
    <t>5N086</t>
  </si>
  <si>
    <t>Item Receipt #326011</t>
  </si>
  <si>
    <t>5N091</t>
  </si>
  <si>
    <t>Item Receipt #328559</t>
  </si>
  <si>
    <t>5N092</t>
  </si>
  <si>
    <t>5N095</t>
  </si>
  <si>
    <t>Item Receipt #328167</t>
  </si>
  <si>
    <t>5N096</t>
  </si>
  <si>
    <t>Item Receipt #331024</t>
  </si>
  <si>
    <t>5N146</t>
  </si>
  <si>
    <t>Item Receipt #329719</t>
  </si>
  <si>
    <t>5N805</t>
  </si>
  <si>
    <t>Item Receipt #330505</t>
  </si>
  <si>
    <t>5N807-2</t>
  </si>
  <si>
    <t>Item Receipt #330978</t>
  </si>
  <si>
    <t>5N808-2</t>
  </si>
  <si>
    <t>Item Receipt #328551</t>
  </si>
  <si>
    <t>5N823SS</t>
  </si>
  <si>
    <t>5N829</t>
  </si>
  <si>
    <t>Item Receipt #331277</t>
  </si>
  <si>
    <t>5N900</t>
  </si>
  <si>
    <t>Item Receipt #327777</t>
  </si>
  <si>
    <t>5N905</t>
  </si>
  <si>
    <t>Item Receipt #326920</t>
  </si>
  <si>
    <t>5Q0407151</t>
  </si>
  <si>
    <t>QC Inspection NCR</t>
  </si>
  <si>
    <t>Item Receipt #325694</t>
  </si>
  <si>
    <t>Item Receipt #330579</t>
  </si>
  <si>
    <t>5Q0407152</t>
  </si>
  <si>
    <t>Item Receipt #330576</t>
  </si>
  <si>
    <t>Item Receipt #330580</t>
  </si>
  <si>
    <t>Item Receipt #330582</t>
  </si>
  <si>
    <t>5U21</t>
  </si>
  <si>
    <t>Item Receipt #329162</t>
  </si>
  <si>
    <t>5W005</t>
  </si>
  <si>
    <t>5W069</t>
  </si>
  <si>
    <t>Item Receipt #330984</t>
  </si>
  <si>
    <t>5W150</t>
  </si>
  <si>
    <t>Item Receipt #326936</t>
  </si>
  <si>
    <t>5W221</t>
  </si>
  <si>
    <t>5W242</t>
  </si>
  <si>
    <t>Item Receipt #331270</t>
  </si>
  <si>
    <t>5W316</t>
  </si>
  <si>
    <t>Item Receipt #331067</t>
  </si>
  <si>
    <t>5W359</t>
  </si>
  <si>
    <t>Item Receipt #328533</t>
  </si>
  <si>
    <t>5W858</t>
  </si>
  <si>
    <t>Item Receipt #331282</t>
  </si>
  <si>
    <t>5W862</t>
  </si>
  <si>
    <t>Item Receipt #326006</t>
  </si>
  <si>
    <t>5W875</t>
  </si>
  <si>
    <t>Item Receipt #330021</t>
  </si>
  <si>
    <t>5W876</t>
  </si>
  <si>
    <t>5W881-6</t>
  </si>
  <si>
    <t>Item Receipt #330988</t>
  </si>
  <si>
    <t>5W881-BL</t>
  </si>
  <si>
    <t>Item Receipt #330989</t>
  </si>
  <si>
    <t>5W889</t>
  </si>
  <si>
    <t>Item Receipt #330410</t>
  </si>
  <si>
    <t>5W911</t>
  </si>
  <si>
    <t>5W936</t>
  </si>
  <si>
    <t>Item Receipt #330991</t>
  </si>
  <si>
    <t>5W991</t>
  </si>
  <si>
    <t>Item Receipt #328902</t>
  </si>
  <si>
    <t>5W993</t>
  </si>
  <si>
    <t>Item Receipt #328519</t>
  </si>
  <si>
    <t>5W999</t>
  </si>
  <si>
    <t>Item Receipt #331022</t>
  </si>
  <si>
    <t>65006A</t>
  </si>
  <si>
    <t>Item Receipt #330543</t>
  </si>
  <si>
    <t>65016</t>
  </si>
  <si>
    <t>Item Receipt #329054</t>
  </si>
  <si>
    <t>Item Receipt #330995</t>
  </si>
  <si>
    <t>65020BLK</t>
  </si>
  <si>
    <t>65021BLK</t>
  </si>
  <si>
    <t>Item Receipt #330109</t>
  </si>
  <si>
    <t>65028</t>
  </si>
  <si>
    <t>Item Receipt #331286</t>
  </si>
  <si>
    <t>65045T</t>
  </si>
  <si>
    <t>Item Receipt #329952</t>
  </si>
  <si>
    <t>65100L</t>
  </si>
  <si>
    <t>Assembly Build #ZVN4344680</t>
  </si>
  <si>
    <t>65100R</t>
  </si>
  <si>
    <t>Assembly Build #ZVN4344679</t>
  </si>
  <si>
    <t>65125</t>
  </si>
  <si>
    <t>65127</t>
  </si>
  <si>
    <t>65956</t>
  </si>
  <si>
    <t>Assembly Build #ZVN4344693</t>
  </si>
  <si>
    <t>Assembly Build #ZVN4344694</t>
  </si>
  <si>
    <t>66067</t>
  </si>
  <si>
    <t>Assembly Build #ZVN4328752</t>
  </si>
  <si>
    <t>66103</t>
  </si>
  <si>
    <t>Item Receipt #328890</t>
  </si>
  <si>
    <t>66127-EXT</t>
  </si>
  <si>
    <t>Assembly Build #ZVN4331415</t>
  </si>
  <si>
    <t>66194</t>
  </si>
  <si>
    <t>Item Receipt #331272</t>
  </si>
  <si>
    <t>66198</t>
  </si>
  <si>
    <t>Assembly Build #ZVN4317528</t>
  </si>
  <si>
    <t>66263</t>
  </si>
  <si>
    <t>Assembly Build #ZVN4347211</t>
  </si>
  <si>
    <t>66264</t>
  </si>
  <si>
    <t>Assembly Build #ZVN4344767</t>
  </si>
  <si>
    <t>66290</t>
  </si>
  <si>
    <t>Assembly Build #ZVN4344128</t>
  </si>
  <si>
    <t>66293</t>
  </si>
  <si>
    <t>Assembly Build #ZVN4347238</t>
  </si>
  <si>
    <t>Assembly Build #ZVN4347239</t>
  </si>
  <si>
    <t>66302</t>
  </si>
  <si>
    <t>Assembly Build #ZVN4347241</t>
  </si>
  <si>
    <t>66304</t>
  </si>
  <si>
    <t>Assembly Build #ZVN4347255</t>
  </si>
  <si>
    <t>Assembly Build #ZVN4347257</t>
  </si>
  <si>
    <t>66355-Z1-2</t>
  </si>
  <si>
    <t>Item Receipt #330987</t>
  </si>
  <si>
    <t>66439</t>
  </si>
  <si>
    <t>Assembly Build #ZVN4344762</t>
  </si>
  <si>
    <t>Assembly Build #ZVN4344763</t>
  </si>
  <si>
    <t>Assembly Build #ZVN4344764</t>
  </si>
  <si>
    <t>66440</t>
  </si>
  <si>
    <t>Assembly Build #ZVN4344758</t>
  </si>
  <si>
    <t>Assembly Build #ZVN4344759</t>
  </si>
  <si>
    <t>Assembly Build #ZVN4344760</t>
  </si>
  <si>
    <t>Assembly Build #ZVN4344761</t>
  </si>
  <si>
    <t>66463</t>
  </si>
  <si>
    <t>Assembly Build #ZVN4347218</t>
  </si>
  <si>
    <t>Assembly Build #ZVN4347219</t>
  </si>
  <si>
    <t>Assembly Build #ZVN4347220</t>
  </si>
  <si>
    <t>66464</t>
  </si>
  <si>
    <t>Assembly Build #ZVN4347225</t>
  </si>
  <si>
    <t>Assembly Build #ZVN4347226</t>
  </si>
  <si>
    <t>Assembly Build #ZVN4347229</t>
  </si>
  <si>
    <t>Assembly Build #ZVN4347236</t>
  </si>
  <si>
    <t>66533</t>
  </si>
  <si>
    <t>66566</t>
  </si>
  <si>
    <t>Assembly Build #ZVN4344711</t>
  </si>
  <si>
    <t>66568</t>
  </si>
  <si>
    <t>Assembly Build #ZVN4344703</t>
  </si>
  <si>
    <t>66603-EXT</t>
  </si>
  <si>
    <t>Item Receipt #331082</t>
  </si>
  <si>
    <t>66638L-NOTCH</t>
  </si>
  <si>
    <t>Item Receipt #327962</t>
  </si>
  <si>
    <t>Item Receipt #331102</t>
  </si>
  <si>
    <t>66638R-NOTCH</t>
  </si>
  <si>
    <t>66641R</t>
  </si>
  <si>
    <t>Item Receipt #328967</t>
  </si>
  <si>
    <t>66739</t>
  </si>
  <si>
    <t>Item Receipt #330992</t>
  </si>
  <si>
    <t>66980-EXT</t>
  </si>
  <si>
    <t>Assembly Build #ZVN4331409</t>
  </si>
  <si>
    <t>66981</t>
  </si>
  <si>
    <t>Assembly Build #ZVN4344727</t>
  </si>
  <si>
    <t>66992</t>
  </si>
  <si>
    <t>Assembly Build #ZVN4344719</t>
  </si>
  <si>
    <t>Assembly Build #ZVN4344720</t>
  </si>
  <si>
    <t>67020-EXT</t>
  </si>
  <si>
    <t>Assembly Build #ZVN4331423</t>
  </si>
  <si>
    <t>67021</t>
  </si>
  <si>
    <t>Assembly Build #ZVN4344757</t>
  </si>
  <si>
    <t>69002</t>
  </si>
  <si>
    <t>Assembly Build #ZVN4344713</t>
  </si>
  <si>
    <t>69003</t>
  </si>
  <si>
    <t>Assembly Build #ZVN4344717</t>
  </si>
  <si>
    <t>69017</t>
  </si>
  <si>
    <t>Assembly Build #ZVN4344722</t>
  </si>
  <si>
    <t>69042</t>
  </si>
  <si>
    <t>Assembly Build #ZVN4344691</t>
  </si>
  <si>
    <t>Assembly Build #ZVN4347270</t>
  </si>
  <si>
    <t>69053</t>
  </si>
  <si>
    <t>Assembly Build #ZVN4344685</t>
  </si>
  <si>
    <t>A317L</t>
  </si>
  <si>
    <t>Item Receipt #325481</t>
  </si>
  <si>
    <t>A341L</t>
  </si>
  <si>
    <t>Item Receipt #328734</t>
  </si>
  <si>
    <t>Item Receipt #331218</t>
  </si>
  <si>
    <t>A401</t>
  </si>
  <si>
    <t>ALOY0018ARM</t>
  </si>
  <si>
    <t>Item Receipt #327336</t>
  </si>
  <si>
    <t>BFR1</t>
  </si>
  <si>
    <t>Assembly Build #ZVN4315402</t>
  </si>
  <si>
    <t>BJ-TO0093K</t>
  </si>
  <si>
    <t>Item Receipt #325699</t>
  </si>
  <si>
    <t>BJ1012ZHA-N</t>
  </si>
  <si>
    <t>Item Receipt #330970</t>
  </si>
  <si>
    <t>Item Receipt #330971</t>
  </si>
  <si>
    <t>C02-2</t>
  </si>
  <si>
    <t>CA-148</t>
  </si>
  <si>
    <t>Item Receipt #329472</t>
  </si>
  <si>
    <t>CA-20202FJ040</t>
  </si>
  <si>
    <t>Item Receipt #326345</t>
  </si>
  <si>
    <t>CA-20202FJ050</t>
  </si>
  <si>
    <t>CA-FD0227-NB</t>
  </si>
  <si>
    <t>Item Receipt #329092</t>
  </si>
  <si>
    <t>CA-FD0228-NB</t>
  </si>
  <si>
    <t>Item Receipt #329087</t>
  </si>
  <si>
    <t>CA-FO024LNB</t>
  </si>
  <si>
    <t>Item Receipt #331264</t>
  </si>
  <si>
    <t>CA-FO024RNB</t>
  </si>
  <si>
    <t>Item Receipt #331263</t>
  </si>
  <si>
    <t>CA-HD0063-S1</t>
  </si>
  <si>
    <t>CA-HD0064-S1</t>
  </si>
  <si>
    <t>CA-HD0134-S3</t>
  </si>
  <si>
    <t>Item Receipt #331220</t>
  </si>
  <si>
    <t>CA-HY0106-S1</t>
  </si>
  <si>
    <t>Item Receipt #329466</t>
  </si>
  <si>
    <t>Item Receipt #327332</t>
  </si>
  <si>
    <t>CA-NI0085-S1</t>
  </si>
  <si>
    <t>Item Receipt #331219</t>
  </si>
  <si>
    <t>CA-NI0086-S1</t>
  </si>
  <si>
    <t>CA-NI0113-S1</t>
  </si>
  <si>
    <t>Item Receipt #329465</t>
  </si>
  <si>
    <t>Item Receipt #329467</t>
  </si>
  <si>
    <t>CA-NI0114-S1</t>
  </si>
  <si>
    <t>Item Receipt #329464</t>
  </si>
  <si>
    <t>CA-NI0231-S1</t>
  </si>
  <si>
    <t>Item Receipt #329462</t>
  </si>
  <si>
    <t>Item Receipt #329463</t>
  </si>
  <si>
    <t>CA-NI0232-S1</t>
  </si>
  <si>
    <t>CA-SB0029-S3</t>
  </si>
  <si>
    <t>Item Receipt #330584</t>
  </si>
  <si>
    <t>Item Receipt #330585</t>
  </si>
  <si>
    <t>CA-SB0183-S3</t>
  </si>
  <si>
    <t>CA-TO0157-S2B</t>
  </si>
  <si>
    <t>Item Receipt #330575</t>
  </si>
  <si>
    <t>Item Receipt #330577</t>
  </si>
  <si>
    <t>CA-TO0158-S2B</t>
  </si>
  <si>
    <t>Item Receipt #325695</t>
  </si>
  <si>
    <t>CA-TO0229-S1</t>
  </si>
  <si>
    <t>CA-TO0263</t>
  </si>
  <si>
    <t>Item Receipt #325690</t>
  </si>
  <si>
    <t>Item Receipt #325703</t>
  </si>
  <si>
    <t>CA-TO0278-S1</t>
  </si>
  <si>
    <t>Item Receipt #327418</t>
  </si>
  <si>
    <t>CA-TO0413</t>
  </si>
  <si>
    <t>Item Receipt #330623</t>
  </si>
  <si>
    <t>CA-TO0414</t>
  </si>
  <si>
    <t>CA-TO0415-S1</t>
  </si>
  <si>
    <t>CA-TO0416-S1</t>
  </si>
  <si>
    <t>Item Receipt #331260</t>
  </si>
  <si>
    <t>CA-VW0091-S2</t>
  </si>
  <si>
    <t>Item Receipt #330627</t>
  </si>
  <si>
    <t>CA412B</t>
  </si>
  <si>
    <t>Item Receipt #328750</t>
  </si>
  <si>
    <t>CA414B</t>
  </si>
  <si>
    <t>Item Receipt #328751</t>
  </si>
  <si>
    <t>CA416B</t>
  </si>
  <si>
    <t>CA417B</t>
  </si>
  <si>
    <t>CB1075IC</t>
  </si>
  <si>
    <t>Assembly Build #ZVN4344731</t>
  </si>
  <si>
    <t>CB1085IC</t>
  </si>
  <si>
    <t>Assembly Build #ZVN4344741</t>
  </si>
  <si>
    <t>CB1086IC</t>
  </si>
  <si>
    <t>Assembly Build #ZVN4344733</t>
  </si>
  <si>
    <t>CB1091IC</t>
  </si>
  <si>
    <t>Item Receipt #330247</t>
  </si>
  <si>
    <t>CB1103IC</t>
  </si>
  <si>
    <t>Assembly Build #ZVN4344743</t>
  </si>
  <si>
    <t>CB1104IC</t>
  </si>
  <si>
    <t>Assembly Build #ZVN4344735</t>
  </si>
  <si>
    <t>CB1116-2</t>
  </si>
  <si>
    <t>Item Receipt #326717</t>
  </si>
  <si>
    <t>CB1117-2</t>
  </si>
  <si>
    <t>Item Receipt #328549</t>
  </si>
  <si>
    <t>CB1136IC</t>
  </si>
  <si>
    <t>Assembly Build #ZVN4340929</t>
  </si>
  <si>
    <t>CB115</t>
  </si>
  <si>
    <t>Item Receipt #328966</t>
  </si>
  <si>
    <t>CB116</t>
  </si>
  <si>
    <t>Item Receipt #330135</t>
  </si>
  <si>
    <t>CB204</t>
  </si>
  <si>
    <t>Item Receipt #330134</t>
  </si>
  <si>
    <t>CB234R</t>
  </si>
  <si>
    <t>Item Receipt #330560</t>
  </si>
  <si>
    <t>CB235</t>
  </si>
  <si>
    <t>CB238L</t>
  </si>
  <si>
    <t>Item Receipt #328771</t>
  </si>
  <si>
    <t>CB238R</t>
  </si>
  <si>
    <t>CB534LIC</t>
  </si>
  <si>
    <t>Item Receipt #331062</t>
  </si>
  <si>
    <t>CB534RIC</t>
  </si>
  <si>
    <t>Item Receipt #330240</t>
  </si>
  <si>
    <t>Item Receipt #331061</t>
  </si>
  <si>
    <t>CB606</t>
  </si>
  <si>
    <t>Item Receipt #327796</t>
  </si>
  <si>
    <t>CB801</t>
  </si>
  <si>
    <t>Item Receipt #327014</t>
  </si>
  <si>
    <t>CB939-ASSEM</t>
  </si>
  <si>
    <t>Item Receipt #330977</t>
  </si>
  <si>
    <t>CB992</t>
  </si>
  <si>
    <t>Item Receipt #331065</t>
  </si>
  <si>
    <t>CB996</t>
  </si>
  <si>
    <t>Item Receipt #327008</t>
  </si>
  <si>
    <t>CB997</t>
  </si>
  <si>
    <t>Item Receipt #327009</t>
  </si>
  <si>
    <t>CNM12X1.5X140</t>
  </si>
  <si>
    <t>Item Receipt #330976</t>
  </si>
  <si>
    <t>CNM34-16X155-RS-2</t>
  </si>
  <si>
    <t>CNM34-16X155-RS-SP-2</t>
  </si>
  <si>
    <t>Item Receipt #330993</t>
  </si>
  <si>
    <t>CON-0070</t>
  </si>
  <si>
    <t>Item Receipt #329883</t>
  </si>
  <si>
    <t>DDLC100</t>
  </si>
  <si>
    <t>Item Receipt #325692</t>
  </si>
  <si>
    <t>F0706</t>
  </si>
  <si>
    <t>Item Receipt #331267</t>
  </si>
  <si>
    <t>F0970</t>
  </si>
  <si>
    <t>Item Receipt #331019</t>
  </si>
  <si>
    <t>F1207</t>
  </si>
  <si>
    <t>F1588</t>
  </si>
  <si>
    <t>Item Receipt #329059</t>
  </si>
  <si>
    <t>F1836</t>
  </si>
  <si>
    <t>Item Receipt #331273</t>
  </si>
  <si>
    <t>F359K</t>
  </si>
  <si>
    <t>Item Receipt #328875</t>
  </si>
  <si>
    <t>Item Receipt #329950</t>
  </si>
  <si>
    <t>F9198</t>
  </si>
  <si>
    <t>Item Receipt #330896</t>
  </si>
  <si>
    <t>F9424</t>
  </si>
  <si>
    <t>Item Receipt #330908</t>
  </si>
  <si>
    <t>FA96-A</t>
  </si>
  <si>
    <t>Item Receipt #330098</t>
  </si>
  <si>
    <t>FG0012-000003</t>
  </si>
  <si>
    <t>Item Receipt #331278</t>
  </si>
  <si>
    <t>FG0021-000002</t>
  </si>
  <si>
    <t>Item Receipt #328627</t>
  </si>
  <si>
    <t>Item Receipt #330492</t>
  </si>
  <si>
    <t>Item Receipt #330493</t>
  </si>
  <si>
    <t>FG0021-000009</t>
  </si>
  <si>
    <t>Item Receipt #328628</t>
  </si>
  <si>
    <t>FG0030-000000A</t>
  </si>
  <si>
    <t>Item Receipt #328321</t>
  </si>
  <si>
    <t>Item Receipt #328322</t>
  </si>
  <si>
    <t>Item Receipt #328323</t>
  </si>
  <si>
    <t>Item Receipt #328324</t>
  </si>
  <si>
    <t>FG0054-000003</t>
  </si>
  <si>
    <t>FG0054-000004</t>
  </si>
  <si>
    <t>Item Receipt #330156</t>
  </si>
  <si>
    <t>FG0071-000000</t>
  </si>
  <si>
    <t>Item Receipt #331279</t>
  </si>
  <si>
    <t>FG0073-000001</t>
  </si>
  <si>
    <t>Item Receipt #330923</t>
  </si>
  <si>
    <t>FG5</t>
  </si>
  <si>
    <t>FR3Z3078C</t>
  </si>
  <si>
    <t>Item Receipt #328756</t>
  </si>
  <si>
    <t>FR3Z3079C</t>
  </si>
  <si>
    <t>FSB-001</t>
  </si>
  <si>
    <t>Item Receipt #330374</t>
  </si>
  <si>
    <t>FSB-002</t>
  </si>
  <si>
    <t>Item Receipt #330377</t>
  </si>
  <si>
    <t>FSB-005</t>
  </si>
  <si>
    <t>Item Receipt #330373</t>
  </si>
  <si>
    <t>FSB-006</t>
  </si>
  <si>
    <t>FSB-009</t>
  </si>
  <si>
    <t>FSK-001</t>
  </si>
  <si>
    <t>Item Receipt #329889</t>
  </si>
  <si>
    <t>Item Receipt #329893</t>
  </si>
  <si>
    <t>Item Receipt #329894</t>
  </si>
  <si>
    <t>FSK-002</t>
  </si>
  <si>
    <t>Item Receipt #325510</t>
  </si>
  <si>
    <t>Item Receipt #325512</t>
  </si>
  <si>
    <t>Item Receipt #325514</t>
  </si>
  <si>
    <t>Item Receipt #325515</t>
  </si>
  <si>
    <t>Item Receipt #329892</t>
  </si>
  <si>
    <t>FSK-003</t>
  </si>
  <si>
    <t>Item Receipt #329891</t>
  </si>
  <si>
    <t>Item Receipt #329895</t>
  </si>
  <si>
    <t>FSK-004</t>
  </si>
  <si>
    <t>FSK-005</t>
  </si>
  <si>
    <t>FSK-007</t>
  </si>
  <si>
    <t>Item Receipt #329888</t>
  </si>
  <si>
    <t>FSK-008</t>
  </si>
  <si>
    <t>FSK-009</t>
  </si>
  <si>
    <t>Item Receipt #325518</t>
  </si>
  <si>
    <t>FSK-013</t>
  </si>
  <si>
    <t>Item Receipt #329890</t>
  </si>
  <si>
    <t>FSK-014</t>
  </si>
  <si>
    <t>Item Receipt #325509</t>
  </si>
  <si>
    <t>Item Receipt #325511</t>
  </si>
  <si>
    <t>Item Receipt #325513</t>
  </si>
  <si>
    <t>FSK-015</t>
  </si>
  <si>
    <t>FSK-016</t>
  </si>
  <si>
    <t>FSP-001</t>
  </si>
  <si>
    <t>Item Receipt #325516</t>
  </si>
  <si>
    <t>FSP-003</t>
  </si>
  <si>
    <t>Item Receipt #325517</t>
  </si>
  <si>
    <t>FSP-004</t>
  </si>
  <si>
    <t>Item Receipt #329885</t>
  </si>
  <si>
    <t>FSS-001</t>
  </si>
  <si>
    <t>FSS-002</t>
  </si>
  <si>
    <t>Item Receipt #330375</t>
  </si>
  <si>
    <t>FSS-006</t>
  </si>
  <si>
    <t>FUB-006</t>
  </si>
  <si>
    <t>Item Receipt #328300</t>
  </si>
  <si>
    <t>Item Receipt #328301</t>
  </si>
  <si>
    <t>Item Receipt #328302</t>
  </si>
  <si>
    <t>Item Receipt #328304</t>
  </si>
  <si>
    <t>FUB-009</t>
  </si>
  <si>
    <t>GOLD HP85B-MFPR</t>
  </si>
  <si>
    <t>Assembly Build #ZVN4273295</t>
  </si>
  <si>
    <t>H-FA62EC</t>
  </si>
  <si>
    <t>Item Receipt #331262</t>
  </si>
  <si>
    <t>JFC052</t>
  </si>
  <si>
    <t>Item Receipt #327199</t>
  </si>
  <si>
    <t>Item Receipt #327200</t>
  </si>
  <si>
    <t>Item Receipt #327201</t>
  </si>
  <si>
    <t>Item Receipt #329343</t>
  </si>
  <si>
    <t>Item Receipt #329347</t>
  </si>
  <si>
    <t>JFC067-D</t>
  </si>
  <si>
    <t>Item Receipt #326922</t>
  </si>
  <si>
    <t>Item Receipt #326923</t>
  </si>
  <si>
    <t>JFC110</t>
  </si>
  <si>
    <t>Item Receipt #329345</t>
  </si>
  <si>
    <t>JFT779-12</t>
  </si>
  <si>
    <t>KCA313-TR</t>
  </si>
  <si>
    <t>Item Receipt #330150</t>
  </si>
  <si>
    <t>KCA468</t>
  </si>
  <si>
    <t>KLC154</t>
  </si>
  <si>
    <t>Item Receipt #330148</t>
  </si>
  <si>
    <t>KLC180-335</t>
  </si>
  <si>
    <t>Assembly Build #ZVN4317304</t>
  </si>
  <si>
    <t>Assembly Build #ZVN4317310</t>
  </si>
  <si>
    <t>Assembly Build #ZVN4317315</t>
  </si>
  <si>
    <t>KLC218</t>
  </si>
  <si>
    <t>Item Receipt #330149</t>
  </si>
  <si>
    <t>LC222</t>
  </si>
  <si>
    <t>Item Receipt #330107</t>
  </si>
  <si>
    <t>LC223</t>
  </si>
  <si>
    <t>Item Receipt #330106</t>
  </si>
  <si>
    <t>LC41</t>
  </si>
  <si>
    <t>LC7-18</t>
  </si>
  <si>
    <t>Item Receipt #331291</t>
  </si>
  <si>
    <t>LKL-DDCOL</t>
  </si>
  <si>
    <t>Item Receipt #329471</t>
  </si>
  <si>
    <t>M8X16</t>
  </si>
  <si>
    <t>Item Receipt #328589</t>
  </si>
  <si>
    <t>P-590</t>
  </si>
  <si>
    <t>Item Receipt #330893</t>
  </si>
  <si>
    <t>P-71063</t>
  </si>
  <si>
    <t>Item Receipt #329942</t>
  </si>
  <si>
    <t>P-BR491P</t>
  </si>
  <si>
    <t>Item Receipt #328604</t>
  </si>
  <si>
    <t>Item Receipt #330503</t>
  </si>
  <si>
    <t>Item Receipt #330504</t>
  </si>
  <si>
    <t>P-FA62</t>
  </si>
  <si>
    <t>PL-1021</t>
  </si>
  <si>
    <t>Item Receipt #331287</t>
  </si>
  <si>
    <t>PL-1022</t>
  </si>
  <si>
    <t>Item Receipt #327017</t>
  </si>
  <si>
    <t>PL-1023</t>
  </si>
  <si>
    <t>Item Receipt #330953</t>
  </si>
  <si>
    <t>PL-142A</t>
  </si>
  <si>
    <t>PL-170</t>
  </si>
  <si>
    <t>Item Receipt #328544</t>
  </si>
  <si>
    <t>PL-182L</t>
  </si>
  <si>
    <t>Item Receipt #331269</t>
  </si>
  <si>
    <t>PL-182R</t>
  </si>
  <si>
    <t>Item Receipt #331268</t>
  </si>
  <si>
    <t>PL-190IC</t>
  </si>
  <si>
    <t>PL-2002</t>
  </si>
  <si>
    <t>Item Receipt #327010</t>
  </si>
  <si>
    <t>PL-2005LIC</t>
  </si>
  <si>
    <t>Item Receipt #330241</t>
  </si>
  <si>
    <t>Item Receipt #330245</t>
  </si>
  <si>
    <t>PL-2058IC</t>
  </si>
  <si>
    <t>Item Receipt #327013</t>
  </si>
  <si>
    <t>PL-2128</t>
  </si>
  <si>
    <t>PL-2146IC</t>
  </si>
  <si>
    <t>PL-2153L</t>
  </si>
  <si>
    <t>Item Receipt #331210</t>
  </si>
  <si>
    <t>Item Receipt #331288</t>
  </si>
  <si>
    <t>PL-2153R</t>
  </si>
  <si>
    <t>PL-2188-SP</t>
  </si>
  <si>
    <t>Item Receipt #328567</t>
  </si>
  <si>
    <t>PL-2210-2</t>
  </si>
  <si>
    <t>Item Receipt #330020</t>
  </si>
  <si>
    <t>PL-223</t>
  </si>
  <si>
    <t>Item Receipt #329310</t>
  </si>
  <si>
    <t>PL-230</t>
  </si>
  <si>
    <t>Item Receipt #327797</t>
  </si>
  <si>
    <t>PL-254-2</t>
  </si>
  <si>
    <t>Item Receipt #328899</t>
  </si>
  <si>
    <t>Item Receipt #328900</t>
  </si>
  <si>
    <t>Item Receipt #329295</t>
  </si>
  <si>
    <t>Item Receipt #329296</t>
  </si>
  <si>
    <t>Item Receipt #331023</t>
  </si>
  <si>
    <t>PL-265</t>
  </si>
  <si>
    <t>PL-333IC</t>
  </si>
  <si>
    <t>PL-339IC</t>
  </si>
  <si>
    <t>PL-340IC</t>
  </si>
  <si>
    <t>PL-341IC</t>
  </si>
  <si>
    <t>PL-342IC</t>
  </si>
  <si>
    <t>Item Receipt #330243</t>
  </si>
  <si>
    <t>PL-343IC</t>
  </si>
  <si>
    <t>PL-344IC</t>
  </si>
  <si>
    <t>PL-367IC</t>
  </si>
  <si>
    <t>PL-389IC</t>
  </si>
  <si>
    <t>Item Receipt #329335</t>
  </si>
  <si>
    <t>PL-PB2823</t>
  </si>
  <si>
    <t>Item Receipt #326022</t>
  </si>
  <si>
    <t>R-70121S</t>
  </si>
  <si>
    <t>Assembly Build #ZVN4255811</t>
  </si>
  <si>
    <t>Assembly Build #ZVN4270694</t>
  </si>
  <si>
    <t>Assembly Build #ZVN4281644</t>
  </si>
  <si>
    <t>RC17</t>
  </si>
  <si>
    <t>Item Receipt #325505</t>
  </si>
  <si>
    <t>RTS25.4X14.3</t>
  </si>
  <si>
    <t>Item Receipt #326586</t>
  </si>
  <si>
    <t>Item Receipt #326587</t>
  </si>
  <si>
    <t>Item Receipt #329038</t>
  </si>
  <si>
    <t>Item Receipt #329039</t>
  </si>
  <si>
    <t>S-20322Z</t>
  </si>
  <si>
    <t>Item Receipt #329032</t>
  </si>
  <si>
    <t>S-80140</t>
  </si>
  <si>
    <t>S04A</t>
  </si>
  <si>
    <t>Item Receipt #326132</t>
  </si>
  <si>
    <t>S06A</t>
  </si>
  <si>
    <t>S30A</t>
  </si>
  <si>
    <t>Item Receipt #327794</t>
  </si>
  <si>
    <t>S31</t>
  </si>
  <si>
    <t>Item Receipt #330986</t>
  </si>
  <si>
    <t>SB-10003</t>
  </si>
  <si>
    <t>Item Receipt #326064</t>
  </si>
  <si>
    <t>Item Receipt #326065</t>
  </si>
  <si>
    <t>SB729-SA</t>
  </si>
  <si>
    <t>Assembly Build #ZVN4344157</t>
  </si>
  <si>
    <t>Assembly Build #ZVN4344158</t>
  </si>
  <si>
    <t>SH5350-1.5MM</t>
  </si>
  <si>
    <t>Item Receipt #331066</t>
  </si>
  <si>
    <t>SK-CA-074S</t>
  </si>
  <si>
    <t>Item Receipt #325697</t>
  </si>
  <si>
    <t>SP12600T</t>
  </si>
  <si>
    <t>Item Receipt #330956</t>
  </si>
  <si>
    <t>SPF0017S</t>
  </si>
  <si>
    <t>Item Receipt #330054</t>
  </si>
  <si>
    <t>SPF0336W</t>
  </si>
  <si>
    <t>SPF0494W</t>
  </si>
  <si>
    <t>Item Receipt #331063</t>
  </si>
  <si>
    <t>SPF0864W</t>
  </si>
  <si>
    <t>SPF1721S</t>
  </si>
  <si>
    <t>Item Receipt #326029</t>
  </si>
  <si>
    <t>SPF1886T</t>
  </si>
  <si>
    <t>Item Receipt #328598</t>
  </si>
  <si>
    <t>Item Receipt #329060</t>
  </si>
  <si>
    <t>SPF2348PE</t>
  </si>
  <si>
    <t>Item Receipt #331037</t>
  </si>
  <si>
    <t>SPF2413S</t>
  </si>
  <si>
    <t>SPF2859P</t>
  </si>
  <si>
    <t>SPF3022S</t>
  </si>
  <si>
    <t>Item Receipt #326523</t>
  </si>
  <si>
    <t>SPF3044T</t>
  </si>
  <si>
    <t>Item Receipt #330979</t>
  </si>
  <si>
    <t>SPF3076S</t>
  </si>
  <si>
    <t>Item Receipt #331075</t>
  </si>
  <si>
    <t>SPF3441T</t>
  </si>
  <si>
    <t>Item Receipt #331290</t>
  </si>
  <si>
    <t>SPF3452S</t>
  </si>
  <si>
    <t>Item Receipt #330486</t>
  </si>
  <si>
    <t>SPF3495S</t>
  </si>
  <si>
    <t>Item Receipt #326945</t>
  </si>
  <si>
    <t>Item Receipt #326954</t>
  </si>
  <si>
    <t>SPF3986S</t>
  </si>
  <si>
    <t>Item Receipt #328312</t>
  </si>
  <si>
    <t>SPF4762SP</t>
  </si>
  <si>
    <t>SPF5027T</t>
  </si>
  <si>
    <t>Item Receipt #329028</t>
  </si>
  <si>
    <t>SPF5223S</t>
  </si>
  <si>
    <t>Item Receipt #331289</t>
  </si>
  <si>
    <t>SPF5243S</t>
  </si>
  <si>
    <t>Item Receipt #331018</t>
  </si>
  <si>
    <t>SPF5475XT</t>
  </si>
  <si>
    <t>Item Receipt #329291</t>
  </si>
  <si>
    <t>Item Receipt #330510</t>
  </si>
  <si>
    <t>Item Receipt #331078</t>
  </si>
  <si>
    <t>SPF5495W</t>
  </si>
  <si>
    <t>Item Receipt #328550</t>
  </si>
  <si>
    <t>SPF5551S</t>
  </si>
  <si>
    <t>Item Receipt #331275</t>
  </si>
  <si>
    <t>SPF5924PE</t>
  </si>
  <si>
    <t>Item Receipt #331036</t>
  </si>
  <si>
    <t>SSFEA-13-1.6S</t>
  </si>
  <si>
    <t>Item Receipt #329897</t>
  </si>
  <si>
    <t>Item Receipt #329898</t>
  </si>
  <si>
    <t>T-6277A-SA</t>
  </si>
  <si>
    <t>Assembly Build #ZVN4306602</t>
  </si>
  <si>
    <t>TA109-PR-9</t>
  </si>
  <si>
    <t>Item Receipt #327943</t>
  </si>
  <si>
    <t>Item Receipt #328768</t>
  </si>
  <si>
    <t>TA124RR-SA-9</t>
  </si>
  <si>
    <t>Item Receipt #326866</t>
  </si>
  <si>
    <t>Item Receipt #326871</t>
  </si>
  <si>
    <t>TA135-SA</t>
  </si>
  <si>
    <t>Item Receipt #329958</t>
  </si>
  <si>
    <t>TRC0008M12RH</t>
  </si>
  <si>
    <t>Item Receipt #330372</t>
  </si>
  <si>
    <t>TRC0019PIN2-ASSY</t>
  </si>
  <si>
    <t>Item Receipt #329886</t>
  </si>
  <si>
    <t>Item Receipt #329887</t>
  </si>
  <si>
    <t>TRC0022PIN-ASSY</t>
  </si>
  <si>
    <t>TRC0031PIN1-ASSY</t>
  </si>
  <si>
    <t>Item Receipt #330371</t>
  </si>
  <si>
    <t>TRC0031PIN2-ASSY</t>
  </si>
  <si>
    <t>TRC0040PIN1-ASSY</t>
  </si>
  <si>
    <t>TRC0040PIN2-ASSY</t>
  </si>
  <si>
    <t>TRC10200</t>
  </si>
  <si>
    <t>TRC1026ARM</t>
  </si>
  <si>
    <t>Item Receipt #329470</t>
  </si>
  <si>
    <t>TRC1027ARM</t>
  </si>
  <si>
    <t>TRC1045</t>
  </si>
  <si>
    <t>TRC1045A</t>
  </si>
  <si>
    <t>Item Receipt #330378</t>
  </si>
  <si>
    <t>TRC1045L</t>
  </si>
  <si>
    <t>Item Receipt #330376</t>
  </si>
  <si>
    <t>TRC12265</t>
  </si>
  <si>
    <t>Item Receipt #327050</t>
  </si>
  <si>
    <t>TRC4015LNK</t>
  </si>
  <si>
    <t>TRC4040LNK</t>
  </si>
  <si>
    <t>TRC4301</t>
  </si>
  <si>
    <t>TRC4307LNK</t>
  </si>
  <si>
    <t>Item Receipt #330581</t>
  </si>
  <si>
    <t>TRC5000RING</t>
  </si>
  <si>
    <t>Item Receipt #329034</t>
  </si>
  <si>
    <t>TRC6680L</t>
  </si>
  <si>
    <t>Item Receipt #326567</t>
  </si>
  <si>
    <t>TRC6680R</t>
  </si>
  <si>
    <t>Item Receipt #326568</t>
  </si>
  <si>
    <t>VE14R/H</t>
  </si>
  <si>
    <t>Item Receipt #331221</t>
  </si>
  <si>
    <t>VE15L/H</t>
  </si>
  <si>
    <t>SOH</t>
  </si>
  <si>
    <t>Aging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</si>
</sst>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XuanStockQAResults75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uanStockQAResults"/>
    </sheetNames>
    <sheetDataSet>
      <sheetData sheetId="0">
        <row r="1">
          <cell r="A1" t="str">
            <v>Name</v>
          </cell>
          <cell r="B1" t="str">
            <v>Description</v>
          </cell>
          <cell r="C1" t="str">
            <v>Location On Hand</v>
          </cell>
        </row>
        <row r="2">
          <cell r="A2" t="str">
            <v>20005Z-0</v>
          </cell>
          <cell r="B2" t="str">
            <v>85 Red Shell Bush Type 17 - Part Off</v>
          </cell>
          <cell r="C2">
            <v>131</v>
          </cell>
        </row>
        <row r="3">
          <cell r="A3" t="str">
            <v>20050Z-0</v>
          </cell>
          <cell r="B3" t="str">
            <v>85 Red Shell Bushing Type 17 - Bonded - Part Off</v>
          </cell>
          <cell r="C3">
            <v>1</v>
          </cell>
        </row>
        <row r="4">
          <cell r="A4" t="str">
            <v>20075Z-3</v>
          </cell>
          <cell r="B4" t="str">
            <v>83 Blue Bushing Type 10 - Bonded - Part Off</v>
          </cell>
          <cell r="C4">
            <v>259</v>
          </cell>
        </row>
        <row r="5">
          <cell r="A5" t="str">
            <v>20470-SA000</v>
          </cell>
          <cell r="B5" t="str">
            <v>Subaru Ball Joint</v>
          </cell>
          <cell r="C5">
            <v>150</v>
          </cell>
        </row>
        <row r="6">
          <cell r="A6" t="str">
            <v>2708</v>
          </cell>
          <cell r="B6" t="str">
            <v>Complete Sway Bar Link Ball Bush Style</v>
          </cell>
          <cell r="C6">
            <v>200</v>
          </cell>
        </row>
        <row r="7">
          <cell r="A7" t="str">
            <v>31201180-BIG</v>
          </cell>
          <cell r="B7" t="str">
            <v>Focus LS/LT/LV 05-11 Volvo S40/V50 04-on C70 06-13 - LHA - Big Ball joint (18.13mm) and Bracket</v>
          </cell>
          <cell r="C7">
            <v>50</v>
          </cell>
        </row>
        <row r="8">
          <cell r="A8" t="str">
            <v>31262039-BIG</v>
          </cell>
          <cell r="B8" t="str">
            <v>Focus LS/LT/LV 05-11 Volvo S40/V50 04-on C70 06-13 - RHA - Big Ball joint (18.13mm) and Bracket</v>
          </cell>
          <cell r="C8">
            <v>50</v>
          </cell>
        </row>
        <row r="9">
          <cell r="A9" t="str">
            <v>3C256</v>
          </cell>
          <cell r="B9" t="str">
            <v>Falcon FG RH Radius Arm Without Bushing and Ball joint (CA-FD0238RH)</v>
          </cell>
          <cell r="C9">
            <v>289</v>
          </cell>
        </row>
        <row r="10">
          <cell r="A10" t="str">
            <v>3C257</v>
          </cell>
          <cell r="B10" t="str">
            <v>Falcon FG LH Radius Arm Without Bushing and Ball joint (CA-FD0237LH)</v>
          </cell>
          <cell r="C10">
            <v>295</v>
          </cell>
        </row>
        <row r="11">
          <cell r="A11" t="str">
            <v>3MR54ZG</v>
          </cell>
          <cell r="B11" t="str">
            <v>Mitsu Mirage</v>
          </cell>
          <cell r="C11">
            <v>1</v>
          </cell>
        </row>
        <row r="12">
          <cell r="A12" t="str">
            <v>48068-42050</v>
          </cell>
          <cell r="B12" t="str">
            <v>RH Arm Including Ball joint</v>
          </cell>
          <cell r="C12">
            <v>100</v>
          </cell>
        </row>
        <row r="13">
          <cell r="A13" t="str">
            <v>48069-42050</v>
          </cell>
          <cell r="B13" t="str">
            <v>LH Arm Including Ball Joint</v>
          </cell>
          <cell r="C13">
            <v>100</v>
          </cell>
        </row>
        <row r="14">
          <cell r="A14" t="str">
            <v>48640-60010</v>
          </cell>
          <cell r="B14" t="str">
            <v>Lh Arm Without Bush</v>
          </cell>
          <cell r="C14">
            <v>72</v>
          </cell>
        </row>
        <row r="15">
          <cell r="A15" t="str">
            <v>51350TBAA01BKT</v>
          </cell>
          <cell r="B15" t="str">
            <v>Honda Civic 10th Gen L&amp;R Bracket</v>
          </cell>
          <cell r="C15">
            <v>46</v>
          </cell>
        </row>
        <row r="16">
          <cell r="A16" t="str">
            <v>545003X000</v>
          </cell>
          <cell r="B16" t="str">
            <v>i30 GD 2011-on - LH (545003X000)</v>
          </cell>
          <cell r="C16">
            <v>100</v>
          </cell>
        </row>
        <row r="17">
          <cell r="A17" t="str">
            <v>5905R</v>
          </cell>
          <cell r="B17" t="str">
            <v>VT SERIES 1 FRT LOW CTRL ARM RIGHT + BJ8035</v>
          </cell>
          <cell r="C17">
            <v>100</v>
          </cell>
        </row>
        <row r="18">
          <cell r="A18" t="str">
            <v>5906L</v>
          </cell>
          <cell r="B18" t="str">
            <v>VT SERIES 2 FRT LOW CTRL ARM LEFT + BJ8036</v>
          </cell>
          <cell r="C18">
            <v>300</v>
          </cell>
        </row>
        <row r="19">
          <cell r="A19" t="str">
            <v>5906R</v>
          </cell>
          <cell r="B19" t="str">
            <v>VT SERIES 2 FRT LOW CTRL ARM RIGHT + BJ8036</v>
          </cell>
          <cell r="C19">
            <v>300</v>
          </cell>
        </row>
        <row r="20">
          <cell r="A20" t="str">
            <v>5B002</v>
          </cell>
          <cell r="B20" t="str">
            <v>Bolt 3/8 BSW X 2.75 Inch 8.8 Zinc</v>
          </cell>
          <cell r="C20">
            <v>10</v>
          </cell>
        </row>
        <row r="21">
          <cell r="A21" t="str">
            <v>5B006</v>
          </cell>
          <cell r="B21" t="str">
            <v>Bolt 5/16 BSW X 1 Inch 4.6 Zinc</v>
          </cell>
          <cell r="C21">
            <v>390</v>
          </cell>
        </row>
        <row r="22">
          <cell r="A22" t="str">
            <v>5B009</v>
          </cell>
          <cell r="B22" t="str">
            <v>Bolt 3/8 BSW X 1.75 IN 8.8 Z</v>
          </cell>
          <cell r="C22">
            <v>500</v>
          </cell>
        </row>
        <row r="23">
          <cell r="A23" t="str">
            <v>5B034</v>
          </cell>
          <cell r="B23" t="str">
            <v>Bolt M6x18mm SEMS ASSY</v>
          </cell>
          <cell r="C23">
            <v>52</v>
          </cell>
        </row>
        <row r="24">
          <cell r="A24" t="str">
            <v>5B041</v>
          </cell>
          <cell r="B24" t="str">
            <v>Bolt M12 1.25 X 55mm Double Step Shank</v>
          </cell>
          <cell r="C24">
            <v>210</v>
          </cell>
        </row>
        <row r="25">
          <cell r="A25" t="str">
            <v>5B051</v>
          </cell>
          <cell r="B25" t="str">
            <v>Bolt M10 1.25 X 35mm 8.8 Z</v>
          </cell>
          <cell r="C25">
            <v>300</v>
          </cell>
        </row>
        <row r="26">
          <cell r="A26" t="str">
            <v>5B057</v>
          </cell>
          <cell r="B26" t="str">
            <v>Bolt M10 1.5 X 16mm SKT Button Head Z/Y</v>
          </cell>
          <cell r="C26">
            <v>120</v>
          </cell>
        </row>
        <row r="27">
          <cell r="A27" t="str">
            <v>5B061</v>
          </cell>
          <cell r="B27" t="str">
            <v>Bolt M14 1.5 X 80mm Bolt 8.8 Z</v>
          </cell>
          <cell r="C27">
            <v>1000</v>
          </cell>
        </row>
        <row r="28">
          <cell r="A28" t="str">
            <v>5B070</v>
          </cell>
          <cell r="B28" t="str">
            <v>Bolt M8 1.25 X 20mm SHSS 8.8</v>
          </cell>
          <cell r="C28">
            <v>1500</v>
          </cell>
        </row>
        <row r="29">
          <cell r="A29" t="str">
            <v>5B084</v>
          </cell>
          <cell r="B29" t="str">
            <v>Bolt 5/16 UNF X 1IN Set Screw</v>
          </cell>
          <cell r="C29">
            <v>100</v>
          </cell>
        </row>
        <row r="30">
          <cell r="A30" t="str">
            <v>5B1023IC</v>
          </cell>
          <cell r="B30" t="str">
            <v>In-Chassis Bolt</v>
          </cell>
          <cell r="C30">
            <v>100</v>
          </cell>
        </row>
        <row r="31">
          <cell r="A31" t="str">
            <v>5B109</v>
          </cell>
          <cell r="B31" t="str">
            <v>Bolt M8 1.25 X 60mm Z 8.8</v>
          </cell>
          <cell r="C31">
            <v>1200</v>
          </cell>
        </row>
        <row r="32">
          <cell r="A32" t="str">
            <v>5B118</v>
          </cell>
          <cell r="B32" t="str">
            <v>Bolt M10 1.5 X 50mm</v>
          </cell>
          <cell r="C32">
            <v>5000</v>
          </cell>
        </row>
        <row r="33">
          <cell r="A33" t="str">
            <v>5B123</v>
          </cell>
          <cell r="B33" t="str">
            <v>Bolt M12 X 1.25 X 25mm Long 8.8 Z</v>
          </cell>
          <cell r="C33">
            <v>600</v>
          </cell>
        </row>
        <row r="34">
          <cell r="A34" t="str">
            <v>5B127</v>
          </cell>
          <cell r="B34" t="str">
            <v>Bolt M8 1.25 X 25mm Z</v>
          </cell>
          <cell r="C34">
            <v>500</v>
          </cell>
        </row>
        <row r="35">
          <cell r="A35" t="str">
            <v>5B132</v>
          </cell>
          <cell r="B35" t="str">
            <v>Bolt M12 X 1.5 X 25 G8.8 Set Screw Hex Zinc</v>
          </cell>
          <cell r="C35">
            <v>525</v>
          </cell>
        </row>
        <row r="36">
          <cell r="A36" t="str">
            <v>5B143</v>
          </cell>
          <cell r="B36" t="str">
            <v>Bolt M10 1.5 X 70 Button Screw Z/Y 12.9</v>
          </cell>
          <cell r="C36">
            <v>300</v>
          </cell>
        </row>
        <row r="37">
          <cell r="A37" t="str">
            <v>5B182</v>
          </cell>
          <cell r="B37" t="str">
            <v>Bolt 1/2 UNC X 4 GR 5 T/ L = 1 1/2</v>
          </cell>
          <cell r="C37">
            <v>5</v>
          </cell>
        </row>
        <row r="38">
          <cell r="A38" t="str">
            <v>5B519</v>
          </cell>
          <cell r="B38" t="str">
            <v>Bolt M8 X 1.25 X 30 8.8 ISO4162</v>
          </cell>
          <cell r="C38">
            <v>996</v>
          </cell>
        </row>
        <row r="39">
          <cell r="A39" t="str">
            <v>5B528SS</v>
          </cell>
          <cell r="B39" t="str">
            <v>STUD M8 10MM INOX</v>
          </cell>
          <cell r="C39">
            <v>1000</v>
          </cell>
        </row>
        <row r="40">
          <cell r="A40" t="str">
            <v>5B537</v>
          </cell>
          <cell r="B40" t="str">
            <v>Bolt M14x1.5x43.25 Centre Bar</v>
          </cell>
          <cell r="C40">
            <v>29</v>
          </cell>
        </row>
        <row r="41">
          <cell r="A41" t="str">
            <v>5B547</v>
          </cell>
          <cell r="B41" t="str">
            <v>Bolt M12x1.25x60</v>
          </cell>
          <cell r="C41">
            <v>200</v>
          </cell>
        </row>
        <row r="42">
          <cell r="A42" t="str">
            <v>5B807A</v>
          </cell>
          <cell r="B42" t="str">
            <v>Aluminum Turnbuckle 1x14 TPI UNS</v>
          </cell>
          <cell r="C42">
            <v>8</v>
          </cell>
        </row>
        <row r="43">
          <cell r="A43" t="str">
            <v>5B819</v>
          </cell>
          <cell r="B43" t="str">
            <v>Male To Female Turnbuckle 7/8x14 TPI UNF</v>
          </cell>
          <cell r="C43">
            <v>2</v>
          </cell>
        </row>
        <row r="44">
          <cell r="A44" t="str">
            <v>5B834SS</v>
          </cell>
          <cell r="B44" t="str">
            <v>STUD M8 18.9MM INOX</v>
          </cell>
          <cell r="C44">
            <v>5000</v>
          </cell>
        </row>
        <row r="45">
          <cell r="A45" t="str">
            <v>5B839</v>
          </cell>
          <cell r="B45" t="str">
            <v>Aluminum Lower Control Arm Countersunk Cap Screw M5X0.8X10</v>
          </cell>
          <cell r="C45">
            <v>63</v>
          </cell>
        </row>
        <row r="46">
          <cell r="A46" t="str">
            <v>5B845</v>
          </cell>
          <cell r="B46" t="str">
            <v>Bolt M14 x 2.0 x 65 CL 12.9 Socket Head</v>
          </cell>
          <cell r="C46">
            <v>400</v>
          </cell>
        </row>
        <row r="47">
          <cell r="A47" t="str">
            <v>5B847</v>
          </cell>
          <cell r="B47" t="str">
            <v>M4X0.7X6.0 Button Head Screw</v>
          </cell>
          <cell r="C47">
            <v>52</v>
          </cell>
        </row>
        <row r="48">
          <cell r="A48" t="str">
            <v>5B848</v>
          </cell>
          <cell r="B48" t="str">
            <v>Bolt M18X1.5 LH Thread</v>
          </cell>
          <cell r="C48">
            <v>105</v>
          </cell>
        </row>
        <row r="49">
          <cell r="A49" t="str">
            <v>5B861</v>
          </cell>
          <cell r="B49" t="str">
            <v>Bolt 3/8IN-24 UNF x 1IN SHCS CL 12.9 Zinc</v>
          </cell>
          <cell r="C49">
            <v>100</v>
          </cell>
        </row>
        <row r="50">
          <cell r="A50" t="str">
            <v>5B862</v>
          </cell>
          <cell r="B50" t="str">
            <v>Bolt 1/2IN-13 UNC x 1IN SHCS Cl 12.9 Zinc</v>
          </cell>
          <cell r="C50">
            <v>100</v>
          </cell>
        </row>
        <row r="51">
          <cell r="A51" t="str">
            <v>5B899</v>
          </cell>
          <cell r="B51" t="str">
            <v>Bolt M8x1.25x30 SHCS</v>
          </cell>
          <cell r="C51">
            <v>200</v>
          </cell>
        </row>
        <row r="52">
          <cell r="A52" t="str">
            <v>5B904</v>
          </cell>
          <cell r="B52" t="str">
            <v>Bolt M14X2.0X120</v>
          </cell>
          <cell r="C52">
            <v>200</v>
          </cell>
        </row>
        <row r="53">
          <cell r="A53" t="str">
            <v>5B909</v>
          </cell>
          <cell r="B53" t="str">
            <v>Bolt 1/2-13 UNC X 5</v>
          </cell>
          <cell r="C53">
            <v>200</v>
          </cell>
        </row>
        <row r="54">
          <cell r="A54" t="str">
            <v>5B914</v>
          </cell>
          <cell r="B54" t="str">
            <v>3/8 -16 UNC-2A x 6 IN</v>
          </cell>
          <cell r="C54">
            <v>200</v>
          </cell>
        </row>
        <row r="55">
          <cell r="A55" t="str">
            <v>5B915</v>
          </cell>
          <cell r="B55" t="str">
            <v>Bolt 3/8 -16 UNC-2A x 7 IN</v>
          </cell>
          <cell r="C55">
            <v>130</v>
          </cell>
        </row>
        <row r="56">
          <cell r="A56" t="str">
            <v>5B917</v>
          </cell>
          <cell r="B56" t="str">
            <v>Bolt 3/8 -16 UNC-2a X 9 Inch Zinc</v>
          </cell>
          <cell r="C56">
            <v>100</v>
          </cell>
        </row>
        <row r="57">
          <cell r="A57" t="str">
            <v>5B941</v>
          </cell>
          <cell r="B57" t="str">
            <v>3/8-16 UNC-2Ax1 1/4 In</v>
          </cell>
          <cell r="C57">
            <v>200</v>
          </cell>
        </row>
        <row r="58">
          <cell r="A58" t="str">
            <v>5B968</v>
          </cell>
          <cell r="B58" t="str">
            <v>Bolt M10X1.25X20 Grade 8.8</v>
          </cell>
          <cell r="C58">
            <v>800</v>
          </cell>
        </row>
        <row r="59">
          <cell r="A59" t="str">
            <v>5B976</v>
          </cell>
          <cell r="B59" t="str">
            <v>Bolt M8x1.25x15</v>
          </cell>
          <cell r="C59">
            <v>500</v>
          </cell>
        </row>
        <row r="60">
          <cell r="A60" t="str">
            <v>5EYE922</v>
          </cell>
          <cell r="B60" t="str">
            <v>WELD EYELET 50X42X32</v>
          </cell>
          <cell r="C60">
            <v>100</v>
          </cell>
        </row>
        <row r="61">
          <cell r="A61" t="str">
            <v>5EYE924</v>
          </cell>
          <cell r="B61" t="str">
            <v>END RING 37.6x25.8x25.5</v>
          </cell>
          <cell r="C61">
            <v>360</v>
          </cell>
        </row>
        <row r="62">
          <cell r="A62" t="str">
            <v>5EYE932</v>
          </cell>
          <cell r="B62" t="str">
            <v>End Ring 46x38.1x32</v>
          </cell>
          <cell r="C62">
            <v>2</v>
          </cell>
        </row>
        <row r="63">
          <cell r="A63" t="str">
            <v>5N003</v>
          </cell>
          <cell r="B63" t="str">
            <v>Nut 3/8 UNC Zinc</v>
          </cell>
          <cell r="C63">
            <v>500</v>
          </cell>
        </row>
        <row r="64">
          <cell r="A64" t="str">
            <v>5N005</v>
          </cell>
          <cell r="B64" t="str">
            <v>Nut 3/8 UNC Flange 8.8</v>
          </cell>
          <cell r="C64">
            <v>5000</v>
          </cell>
        </row>
        <row r="65">
          <cell r="A65" t="str">
            <v>5N040</v>
          </cell>
          <cell r="B65" t="str">
            <v>Nut M12 1.75 Flange ZY</v>
          </cell>
          <cell r="C65">
            <v>1500</v>
          </cell>
        </row>
        <row r="66">
          <cell r="A66" t="str">
            <v>5N069</v>
          </cell>
          <cell r="B66" t="str">
            <v>Nut M12 Full Nut made by RGA</v>
          </cell>
          <cell r="C66">
            <v>200</v>
          </cell>
        </row>
        <row r="67">
          <cell r="A67" t="str">
            <v>5N086</v>
          </cell>
          <cell r="B67" t="str">
            <v>Nut M16 x 1.5 24W 8H L/H GR8.8 Black</v>
          </cell>
          <cell r="C67">
            <v>336</v>
          </cell>
        </row>
        <row r="68">
          <cell r="A68" t="str">
            <v>5N088</v>
          </cell>
          <cell r="B68" t="str">
            <v>Nut 7/8x14 TPI UNF Rh - Rev B - Black</v>
          </cell>
          <cell r="C68">
            <v>248</v>
          </cell>
        </row>
        <row r="69">
          <cell r="A69" t="str">
            <v>5N091</v>
          </cell>
          <cell r="B69" t="str">
            <v>Nut M18 1.5x27Wx10H Hex RH Zinc GR 8.8</v>
          </cell>
          <cell r="C69">
            <v>50</v>
          </cell>
        </row>
        <row r="70">
          <cell r="A70" t="str">
            <v>5N092</v>
          </cell>
          <cell r="B70" t="str">
            <v>Nut M18 1.5x27Wx10H Hex LH Zinc GR 8.8</v>
          </cell>
          <cell r="C70">
            <v>50</v>
          </cell>
        </row>
        <row r="71">
          <cell r="A71" t="str">
            <v>5N095</v>
          </cell>
          <cell r="B71" t="str">
            <v>Nut M12 x 1.5 R/H Thread Class 8 - Black</v>
          </cell>
          <cell r="C71">
            <v>980</v>
          </cell>
        </row>
        <row r="72">
          <cell r="A72" t="str">
            <v>5N096</v>
          </cell>
          <cell r="B72" t="str">
            <v>Nut M12 x 1.5 L/H Thread - Black</v>
          </cell>
          <cell r="C72">
            <v>1267</v>
          </cell>
        </row>
        <row r="73">
          <cell r="A73" t="str">
            <v>5N146</v>
          </cell>
          <cell r="B73" t="str">
            <v>M14 x 1.5 x 12 Hex Nut</v>
          </cell>
          <cell r="C73">
            <v>294</v>
          </cell>
        </row>
        <row r="74">
          <cell r="A74" t="str">
            <v>5N805</v>
          </cell>
          <cell r="B74" t="str">
            <v>Lock Nut 1 x 14 TPI UNS</v>
          </cell>
          <cell r="C74">
            <v>600</v>
          </cell>
        </row>
        <row r="75">
          <cell r="A75" t="str">
            <v>5N807-2</v>
          </cell>
          <cell r="B75" t="str">
            <v>Lock Nut 3/4 x 16 TPI UNF - Black</v>
          </cell>
          <cell r="C75">
            <v>500</v>
          </cell>
        </row>
        <row r="76">
          <cell r="A76" t="str">
            <v>5N808-2</v>
          </cell>
          <cell r="B76" t="str">
            <v>Lock Nut 3/4 x 16 TPI UNF LH - Black</v>
          </cell>
          <cell r="C76">
            <v>250</v>
          </cell>
        </row>
        <row r="77">
          <cell r="A77" t="str">
            <v>5N823SS</v>
          </cell>
          <cell r="B77" t="str">
            <v>Hex Flange Nut M6x1 Class 8 - Stainless Nut</v>
          </cell>
          <cell r="C77">
            <v>5000</v>
          </cell>
        </row>
        <row r="78">
          <cell r="A78" t="str">
            <v>5N829</v>
          </cell>
          <cell r="B78" t="str">
            <v>M12x1.5 Flanged Nut (New design)</v>
          </cell>
          <cell r="C78">
            <v>713</v>
          </cell>
        </row>
        <row r="79">
          <cell r="A79" t="str">
            <v>5N900</v>
          </cell>
          <cell r="B79" t="str">
            <v>Nut M14X2.0 Nyloc</v>
          </cell>
          <cell r="C79">
            <v>1500</v>
          </cell>
        </row>
        <row r="80">
          <cell r="A80" t="str">
            <v>5N905</v>
          </cell>
          <cell r="B80" t="str">
            <v>Nut 7/16 IN-14UNC Nyloc</v>
          </cell>
          <cell r="C80">
            <v>200</v>
          </cell>
        </row>
        <row r="81">
          <cell r="A81" t="str">
            <v>5Q0407151</v>
          </cell>
          <cell r="B81" t="str">
            <v>Golf Mk7 FLCA LH</v>
          </cell>
          <cell r="C81">
            <v>244</v>
          </cell>
        </row>
        <row r="82">
          <cell r="A82" t="str">
            <v>5Q0407152</v>
          </cell>
          <cell r="B82" t="str">
            <v>Golf Mk7 FLCA RH</v>
          </cell>
          <cell r="C82">
            <v>131</v>
          </cell>
        </row>
        <row r="83">
          <cell r="A83" t="str">
            <v>5U21</v>
          </cell>
          <cell r="B83" t="str">
            <v>U-BOLT 41 X 57 5/16INCH</v>
          </cell>
          <cell r="C83">
            <v>96</v>
          </cell>
        </row>
        <row r="84">
          <cell r="A84" t="str">
            <v>5W005</v>
          </cell>
          <cell r="B84" t="str">
            <v>Washer 17x10.5x2.2 MD Spring Z</v>
          </cell>
          <cell r="C84">
            <v>2200</v>
          </cell>
        </row>
        <row r="85">
          <cell r="A85" t="str">
            <v>5W021</v>
          </cell>
          <cell r="B85" t="str">
            <v>Washer 50.8x16.3x4 Special</v>
          </cell>
          <cell r="C85">
            <v>190</v>
          </cell>
        </row>
        <row r="86">
          <cell r="A86" t="str">
            <v>5W069</v>
          </cell>
          <cell r="B86" t="str">
            <v>Washer 59.7x16.2x4</v>
          </cell>
          <cell r="C86">
            <v>300</v>
          </cell>
        </row>
        <row r="87">
          <cell r="A87" t="str">
            <v>5W150</v>
          </cell>
          <cell r="B87" t="str">
            <v>Washer 56x16.2x2.5</v>
          </cell>
          <cell r="C87">
            <v>210</v>
          </cell>
        </row>
        <row r="88">
          <cell r="A88" t="str">
            <v>5W196</v>
          </cell>
          <cell r="B88" t="str">
            <v>Washer 40x21x7.5 Stepped Special</v>
          </cell>
          <cell r="C88">
            <v>6</v>
          </cell>
        </row>
        <row r="89">
          <cell r="A89" t="str">
            <v>5W197</v>
          </cell>
          <cell r="B89" t="str">
            <v>Washer 50x14.2x7.5 Stepped</v>
          </cell>
          <cell r="C89">
            <v>62</v>
          </cell>
        </row>
        <row r="90">
          <cell r="A90" t="str">
            <v>5W221</v>
          </cell>
          <cell r="B90" t="str">
            <v>Washer 60x12x2.5</v>
          </cell>
          <cell r="C90">
            <v>200</v>
          </cell>
        </row>
        <row r="91">
          <cell r="A91" t="str">
            <v>5W230SS</v>
          </cell>
          <cell r="B91" t="str">
            <v>Stainless Steel Washer 53x14.3x3</v>
          </cell>
          <cell r="C91">
            <v>150</v>
          </cell>
        </row>
        <row r="92">
          <cell r="A92" t="str">
            <v>5W241</v>
          </cell>
          <cell r="B92" t="str">
            <v>Washer 40x12.5x3mm Hardened</v>
          </cell>
          <cell r="C92">
            <v>14</v>
          </cell>
        </row>
        <row r="93">
          <cell r="A93" t="str">
            <v>5W242</v>
          </cell>
          <cell r="B93" t="str">
            <v>Washer 48x16x3mm 1040</v>
          </cell>
          <cell r="C93">
            <v>700</v>
          </cell>
        </row>
        <row r="94">
          <cell r="A94" t="str">
            <v>5W316</v>
          </cell>
          <cell r="B94" t="str">
            <v>Washer 50.6x12.9x3</v>
          </cell>
          <cell r="C94">
            <v>1200</v>
          </cell>
        </row>
        <row r="95">
          <cell r="A95" t="str">
            <v>5W359</v>
          </cell>
          <cell r="B95" t="str">
            <v>Washer 55x40x2 Plated</v>
          </cell>
          <cell r="C95">
            <v>109</v>
          </cell>
        </row>
        <row r="96">
          <cell r="A96" t="str">
            <v>5W858</v>
          </cell>
          <cell r="B96" t="str">
            <v>Circlip Internal 50mm DIN 472 - 54.2x45x2mm</v>
          </cell>
          <cell r="C96">
            <v>200</v>
          </cell>
        </row>
        <row r="97">
          <cell r="A97" t="str">
            <v>5W862</v>
          </cell>
          <cell r="B97" t="str">
            <v>Washer 34x14.3x3 Flat</v>
          </cell>
          <cell r="C97">
            <v>40</v>
          </cell>
        </row>
        <row r="98">
          <cell r="A98" t="str">
            <v>5W875</v>
          </cell>
          <cell r="B98" t="str">
            <v>Washer 92x76x2</v>
          </cell>
          <cell r="C98">
            <v>5</v>
          </cell>
        </row>
        <row r="99">
          <cell r="A99" t="str">
            <v>5W876</v>
          </cell>
          <cell r="B99" t="str">
            <v>Washer 97x81x2</v>
          </cell>
          <cell r="C99">
            <v>5</v>
          </cell>
        </row>
        <row r="100">
          <cell r="A100" t="str">
            <v>5W881-6</v>
          </cell>
          <cell r="B100" t="str">
            <v>Washer 36.2x19.2x10 Alloy Spacer - Gold</v>
          </cell>
          <cell r="C100">
            <v>5</v>
          </cell>
        </row>
        <row r="101">
          <cell r="A101" t="str">
            <v>5W881-BL</v>
          </cell>
          <cell r="B101" t="str">
            <v>Washer 36.2x19.2x10 Alloy Spacer - Blue Anodised</v>
          </cell>
          <cell r="C101">
            <v>5</v>
          </cell>
        </row>
        <row r="102">
          <cell r="A102" t="str">
            <v>5W889</v>
          </cell>
          <cell r="B102" t="str">
            <v>Washer 31.8x18.95-14.3x 11 Press Fit Stepped</v>
          </cell>
          <cell r="C102">
            <v>5</v>
          </cell>
        </row>
        <row r="103">
          <cell r="A103" t="str">
            <v>5W910</v>
          </cell>
          <cell r="B103" t="str">
            <v>Washer 50.7x10x3</v>
          </cell>
          <cell r="C103">
            <v>500</v>
          </cell>
        </row>
        <row r="104">
          <cell r="A104" t="str">
            <v>5W911</v>
          </cell>
          <cell r="B104" t="str">
            <v>Washer 76x14.3x3</v>
          </cell>
          <cell r="C104">
            <v>567</v>
          </cell>
        </row>
        <row r="105">
          <cell r="A105" t="str">
            <v>5W936</v>
          </cell>
          <cell r="B105" t="str">
            <v>Washer 50.8x10.6x3 Special</v>
          </cell>
          <cell r="C105">
            <v>5</v>
          </cell>
        </row>
        <row r="106">
          <cell r="A106" t="str">
            <v>5W943</v>
          </cell>
          <cell r="B106" t="str">
            <v>Washer 30.2x14.2x4</v>
          </cell>
          <cell r="C106">
            <v>500</v>
          </cell>
        </row>
        <row r="107">
          <cell r="A107" t="str">
            <v>5W957</v>
          </cell>
          <cell r="B107" t="str">
            <v>Washer 63.5x14.3x3.2</v>
          </cell>
          <cell r="C107">
            <v>4</v>
          </cell>
        </row>
        <row r="108">
          <cell r="A108" t="str">
            <v>5W969</v>
          </cell>
          <cell r="B108" t="str">
            <v>Washer 18x5.5x1.5</v>
          </cell>
          <cell r="C108">
            <v>21</v>
          </cell>
        </row>
        <row r="109">
          <cell r="A109" t="str">
            <v>5W991</v>
          </cell>
          <cell r="B109" t="str">
            <v>Washer 13.3x8.2x8-6.5 Cone</v>
          </cell>
          <cell r="C109">
            <v>315</v>
          </cell>
        </row>
        <row r="110">
          <cell r="A110" t="str">
            <v>5W993</v>
          </cell>
          <cell r="B110" t="str">
            <v>Washer 60x23.3x4 Press Fit and Knurled</v>
          </cell>
          <cell r="C110">
            <v>250</v>
          </cell>
        </row>
        <row r="111">
          <cell r="A111" t="str">
            <v>5W999</v>
          </cell>
          <cell r="B111" t="str">
            <v>Washer 35.5x17.3x7.15 - Replace for 5W376</v>
          </cell>
          <cell r="C111">
            <v>832</v>
          </cell>
        </row>
        <row r="112">
          <cell r="A112" t="str">
            <v>65006A</v>
          </cell>
          <cell r="B112" t="str">
            <v>HICAS LOCK KIT CENTRE 1 PIECE WELDED</v>
          </cell>
          <cell r="C112">
            <v>5</v>
          </cell>
        </row>
        <row r="113">
          <cell r="A113" t="str">
            <v>65009</v>
          </cell>
          <cell r="B113" t="str">
            <v>Centre Nut M10 140mm</v>
          </cell>
          <cell r="C113">
            <v>45</v>
          </cell>
        </row>
        <row r="114">
          <cell r="A114" t="str">
            <v>65013</v>
          </cell>
          <cell r="B114" t="str">
            <v>Centre link M10 220mm</v>
          </cell>
          <cell r="C114">
            <v>5</v>
          </cell>
        </row>
        <row r="115">
          <cell r="A115" t="str">
            <v>65016</v>
          </cell>
          <cell r="B115" t="str">
            <v>Centre link M10 280mm</v>
          </cell>
          <cell r="C115">
            <v>200</v>
          </cell>
        </row>
        <row r="116">
          <cell r="A116" t="str">
            <v>65019</v>
          </cell>
          <cell r="B116" t="str">
            <v>Centre link M10 80mm</v>
          </cell>
          <cell r="C116">
            <v>5</v>
          </cell>
        </row>
        <row r="117">
          <cell r="A117" t="str">
            <v>65020BLK</v>
          </cell>
          <cell r="B117" t="str">
            <v>Lock Nut M10 Left Hand Thread Black</v>
          </cell>
          <cell r="C117">
            <v>1000</v>
          </cell>
        </row>
        <row r="118">
          <cell r="A118" t="str">
            <v>65021BLK</v>
          </cell>
          <cell r="B118" t="str">
            <v>Lock Nut M10 Right Hand Thread Black</v>
          </cell>
          <cell r="C118">
            <v>2000</v>
          </cell>
        </row>
        <row r="119">
          <cell r="A119" t="str">
            <v>65028</v>
          </cell>
          <cell r="B119" t="str">
            <v>SPACER LENGTH 6 X ID 10 X OD 17</v>
          </cell>
          <cell r="C119">
            <v>199</v>
          </cell>
        </row>
        <row r="120">
          <cell r="A120" t="str">
            <v>65045T</v>
          </cell>
          <cell r="B120" t="str">
            <v>OFFSET STEEL TUBE WITH ADJUST HOLES</v>
          </cell>
          <cell r="C120">
            <v>102</v>
          </cell>
        </row>
        <row r="121">
          <cell r="A121" t="str">
            <v>65100L</v>
          </cell>
          <cell r="B121" t="str">
            <v>SUBARU D-BUSH BRACKET BRACE LHS</v>
          </cell>
          <cell r="C121">
            <v>50</v>
          </cell>
        </row>
        <row r="122">
          <cell r="A122" t="str">
            <v>65100R</v>
          </cell>
          <cell r="B122" t="str">
            <v>SUBARU D-BUSH BRACKET BRACE RHS</v>
          </cell>
          <cell r="C122">
            <v>50</v>
          </cell>
        </row>
        <row r="123">
          <cell r="A123" t="str">
            <v>65125</v>
          </cell>
          <cell r="B123" t="str">
            <v>Spherical Replacement Link 12mm R/hand (installed 5W362)</v>
          </cell>
          <cell r="C123">
            <v>350</v>
          </cell>
        </row>
        <row r="124">
          <cell r="A124" t="str">
            <v>65127</v>
          </cell>
          <cell r="B124" t="str">
            <v>Spherical Replace Link 10mm Rh Female</v>
          </cell>
          <cell r="C124">
            <v>200</v>
          </cell>
        </row>
        <row r="125">
          <cell r="A125" t="str">
            <v>65956</v>
          </cell>
          <cell r="B125" t="str">
            <v>TA158 WELDED ASSEMBLY</v>
          </cell>
          <cell r="C125">
            <v>33</v>
          </cell>
        </row>
        <row r="126">
          <cell r="A126" t="str">
            <v>66067</v>
          </cell>
          <cell r="B126" t="str">
            <v>Welded Assembly</v>
          </cell>
          <cell r="C126">
            <v>85</v>
          </cell>
        </row>
        <row r="127">
          <cell r="A127" t="str">
            <v>66103</v>
          </cell>
          <cell r="B127" t="str">
            <v>CENTRE TUBE 1.1875IN X .125IN X 37.00MM</v>
          </cell>
          <cell r="C127">
            <v>36</v>
          </cell>
        </row>
        <row r="128">
          <cell r="A128" t="str">
            <v>66127-EXT</v>
          </cell>
          <cell r="B128" t="str">
            <v>CENTRE TUBE 1.25IN X .281IN - EXTERNAL MACHINING</v>
          </cell>
          <cell r="C128">
            <v>20</v>
          </cell>
        </row>
        <row r="129">
          <cell r="A129" t="str">
            <v>66194</v>
          </cell>
          <cell r="B129" t="str">
            <v>74006 PIN</v>
          </cell>
          <cell r="C129">
            <v>400</v>
          </cell>
        </row>
        <row r="130">
          <cell r="A130" t="str">
            <v>66198</v>
          </cell>
          <cell r="B130" t="str">
            <v>WELDED ASSEMBLY PR076</v>
          </cell>
          <cell r="C130">
            <v>3</v>
          </cell>
        </row>
        <row r="131">
          <cell r="A131" t="str">
            <v>66263</v>
          </cell>
          <cell r="B131" t="str">
            <v>20-On D-Max LH Welded Assembly</v>
          </cell>
          <cell r="C131">
            <v>46</v>
          </cell>
        </row>
        <row r="132">
          <cell r="A132" t="str">
            <v>66264</v>
          </cell>
          <cell r="B132" t="str">
            <v>20-On D-Max RH Welded Assembly</v>
          </cell>
          <cell r="C132">
            <v>44</v>
          </cell>
        </row>
        <row r="133">
          <cell r="A133" t="str">
            <v>66290</v>
          </cell>
          <cell r="B133" t="str">
            <v>TA314 WELDED ASSEMBLY</v>
          </cell>
          <cell r="C133">
            <v>1</v>
          </cell>
        </row>
        <row r="134">
          <cell r="A134" t="str">
            <v>66293</v>
          </cell>
          <cell r="B134" t="str">
            <v>TA294 Welded Assembly</v>
          </cell>
          <cell r="C134">
            <v>9</v>
          </cell>
        </row>
        <row r="135">
          <cell r="A135" t="str">
            <v>66302</v>
          </cell>
          <cell r="B135" t="str">
            <v>TA138A  Welded Assembly</v>
          </cell>
          <cell r="C135">
            <v>6</v>
          </cell>
        </row>
        <row r="136">
          <cell r="A136" t="str">
            <v>66304</v>
          </cell>
          <cell r="B136" t="str">
            <v>TA282 WELDED ASSEMBLY</v>
          </cell>
          <cell r="C136">
            <v>6</v>
          </cell>
        </row>
        <row r="137">
          <cell r="A137" t="str">
            <v>66355-Z1-2</v>
          </cell>
          <cell r="B137" t="str">
            <v>Z1 Link Centre Turnbuckle - Black and Engrave Logo Z1</v>
          </cell>
          <cell r="C137">
            <v>150</v>
          </cell>
        </row>
        <row r="138">
          <cell r="A138" t="str">
            <v>66439</v>
          </cell>
          <cell r="B138" t="str">
            <v>TA318 Welded Assembly LH</v>
          </cell>
          <cell r="C138">
            <v>11</v>
          </cell>
        </row>
        <row r="139">
          <cell r="A139" t="str">
            <v>66440</v>
          </cell>
          <cell r="B139" t="str">
            <v>TA318 Welded Assembly RH</v>
          </cell>
          <cell r="C139">
            <v>10</v>
          </cell>
        </row>
        <row r="140">
          <cell r="A140" t="str">
            <v>66463</v>
          </cell>
          <cell r="B140" t="str">
            <v>TA336 Welded Assembly LH</v>
          </cell>
          <cell r="C140">
            <v>10</v>
          </cell>
        </row>
        <row r="141">
          <cell r="A141" t="str">
            <v>66464</v>
          </cell>
          <cell r="B141" t="str">
            <v>TA336 Welded Assembly RH</v>
          </cell>
          <cell r="C141">
            <v>12</v>
          </cell>
        </row>
        <row r="142">
          <cell r="A142" t="str">
            <v>66533</v>
          </cell>
          <cell r="B142" t="str">
            <v>Left Hand AL Bush</v>
          </cell>
          <cell r="C142">
            <v>20</v>
          </cell>
        </row>
        <row r="143">
          <cell r="A143" t="str">
            <v>66566</v>
          </cell>
          <cell r="B143" t="str">
            <v>TA388 Welded Assembly</v>
          </cell>
          <cell r="C143">
            <v>6</v>
          </cell>
        </row>
        <row r="144">
          <cell r="A144" t="str">
            <v>66568</v>
          </cell>
          <cell r="B144" t="str">
            <v>TA389 Welded Assembly</v>
          </cell>
          <cell r="C144">
            <v>6</v>
          </cell>
        </row>
        <row r="145">
          <cell r="A145" t="str">
            <v>66603-EXT</v>
          </cell>
          <cell r="B145" t="str">
            <v>Centre Tube - External Machining 38.1x28.5x621 Drill Hole</v>
          </cell>
          <cell r="C145">
            <v>30</v>
          </cell>
        </row>
        <row r="146">
          <cell r="A146" t="str">
            <v>66614-2</v>
          </cell>
          <cell r="B146" t="str">
            <v>Welded Stud M14x1.5 RH - E-Coat Black</v>
          </cell>
          <cell r="C146">
            <v>52</v>
          </cell>
        </row>
        <row r="147">
          <cell r="A147" t="str">
            <v>66638L-NOTCH</v>
          </cell>
          <cell r="B147" t="str">
            <v>Center Tube - Notching 38.1x28.575x402 Lh</v>
          </cell>
          <cell r="C147">
            <v>10</v>
          </cell>
        </row>
        <row r="148">
          <cell r="A148" t="str">
            <v>66638R-NOTCH</v>
          </cell>
          <cell r="B148" t="str">
            <v>Center Tube - Notching 38.1x28.575x402 Rh</v>
          </cell>
          <cell r="C148">
            <v>10</v>
          </cell>
        </row>
        <row r="149">
          <cell r="A149" t="str">
            <v>66641R</v>
          </cell>
          <cell r="B149" t="str">
            <v xml:space="preserve">Machined Knuckle RH (Hard Coat Anodised Black) _x000D_
</v>
          </cell>
          <cell r="C149">
            <v>1</v>
          </cell>
        </row>
        <row r="150">
          <cell r="A150" t="str">
            <v>66739</v>
          </cell>
          <cell r="B150" t="str">
            <v>Cupra Rear Toe Lockout</v>
          </cell>
          <cell r="C150">
            <v>5</v>
          </cell>
        </row>
        <row r="151">
          <cell r="A151" t="str">
            <v>66980-EXT</v>
          </cell>
          <cell r="B151" t="str">
            <v>CENTRE TUBE 28.6X19- THREAD</v>
          </cell>
          <cell r="C151">
            <v>21</v>
          </cell>
        </row>
        <row r="152">
          <cell r="A152" t="str">
            <v>66981</v>
          </cell>
          <cell r="B152" t="str">
            <v>PR010 WELDED ASSEMBLY</v>
          </cell>
          <cell r="C152">
            <v>6</v>
          </cell>
        </row>
        <row r="153">
          <cell r="A153" t="str">
            <v>66992</v>
          </cell>
          <cell r="B153" t="str">
            <v>3026 WELDED ASSEMBLY</v>
          </cell>
          <cell r="C153">
            <v>7</v>
          </cell>
        </row>
        <row r="154">
          <cell r="A154" t="str">
            <v>67020-EXT</v>
          </cell>
          <cell r="B154" t="str">
            <v>CENTRE TUBE 31.75X17.475 - (THREAD 7/8-14 UNF-2B RH)</v>
          </cell>
          <cell r="C154">
            <v>19</v>
          </cell>
        </row>
        <row r="155">
          <cell r="A155" t="str">
            <v>67021</v>
          </cell>
          <cell r="B155" t="str">
            <v>PR078 WELDED ASSEMBLY</v>
          </cell>
          <cell r="C155">
            <v>4</v>
          </cell>
        </row>
        <row r="156">
          <cell r="A156" t="str">
            <v>69002</v>
          </cell>
          <cell r="B156" t="str">
            <v>2918 WELDED ASSEMBLY R/H</v>
          </cell>
          <cell r="C156">
            <v>3</v>
          </cell>
        </row>
        <row r="157">
          <cell r="A157" t="str">
            <v>69003</v>
          </cell>
          <cell r="B157" t="str">
            <v>2918 L/H WELDED ASSEMBLY</v>
          </cell>
          <cell r="C157">
            <v>3</v>
          </cell>
        </row>
        <row r="158">
          <cell r="A158" t="str">
            <v>69017</v>
          </cell>
          <cell r="B158" t="str">
            <v>PR189 WELDED ASSEMBLY</v>
          </cell>
          <cell r="C158">
            <v>1</v>
          </cell>
        </row>
        <row r="159">
          <cell r="A159" t="str">
            <v>69042</v>
          </cell>
          <cell r="B159" t="str">
            <v>TA239B-R WELDED ASSEMBLY - ARB</v>
          </cell>
          <cell r="C159">
            <v>160</v>
          </cell>
        </row>
        <row r="160">
          <cell r="A160" t="str">
            <v>69053</v>
          </cell>
          <cell r="B160" t="str">
            <v>SWAY BAR LINK WELDED (M68-6911 update from M68-6811 SBEL)</v>
          </cell>
          <cell r="C160">
            <v>125</v>
          </cell>
        </row>
        <row r="161">
          <cell r="A161" t="str">
            <v>69260-2</v>
          </cell>
          <cell r="B161" t="str">
            <v>85 Black Bush +CB1019 - Bonded</v>
          </cell>
          <cell r="C161">
            <v>85</v>
          </cell>
        </row>
        <row r="162">
          <cell r="A162" t="str">
            <v>71121-2</v>
          </cell>
          <cell r="B162" t="str">
            <v>72 Black Shell Bush W/ PA Bearing</v>
          </cell>
          <cell r="C162">
            <v>500</v>
          </cell>
        </row>
        <row r="163">
          <cell r="A163" t="str">
            <v>91576-2</v>
          </cell>
          <cell r="B163" t="str">
            <v>85 Black  Bumstop Bush + CB304</v>
          </cell>
          <cell r="C163">
            <v>219</v>
          </cell>
        </row>
        <row r="164">
          <cell r="A164" t="str">
            <v>A317L</v>
          </cell>
          <cell r="B164" t="str">
            <v>Focus/Mazda Low/C/Arm 1-04/09-09 No Bush</v>
          </cell>
          <cell r="C164">
            <v>299</v>
          </cell>
        </row>
        <row r="165">
          <cell r="A165" t="str">
            <v>A341L</v>
          </cell>
          <cell r="B165" t="str">
            <v>Lancer CJ - Lower Control Arm</v>
          </cell>
          <cell r="C165">
            <v>100</v>
          </cell>
        </row>
        <row r="166">
          <cell r="A166" t="str">
            <v>A401</v>
          </cell>
          <cell r="B166" t="str">
            <v>Rear Control Arm - Lower LHS</v>
          </cell>
          <cell r="C166">
            <v>100</v>
          </cell>
        </row>
        <row r="167">
          <cell r="A167" t="str">
            <v>ALOY0018ARM</v>
          </cell>
          <cell r="B167" t="str">
            <v>VAG Alloy Control Arm</v>
          </cell>
          <cell r="C167">
            <v>210</v>
          </cell>
        </row>
        <row r="168">
          <cell r="A168" t="str">
            <v>BFR1</v>
          </cell>
          <cell r="B168" t="str">
            <v>Sway Bar - 18mm</v>
          </cell>
          <cell r="C168">
            <v>4</v>
          </cell>
        </row>
        <row r="169">
          <cell r="A169" t="str">
            <v>BJ-TO0093K</v>
          </cell>
          <cell r="B169" t="str">
            <v>Toyota Corolla ZZE122 Fr Ball Joint - Geomet coating</v>
          </cell>
          <cell r="C169">
            <v>200</v>
          </cell>
        </row>
        <row r="170">
          <cell r="A170" t="str">
            <v>BJ1012ZHA-N</v>
          </cell>
          <cell r="B170" t="str">
            <v>Ball Joint - HD/NG/GC - Taper 8 - OD 18/15.8mm - M14x1.5</v>
          </cell>
          <cell r="C170">
            <v>2000</v>
          </cell>
        </row>
        <row r="171">
          <cell r="A171" t="str">
            <v>BJ3841HD-RT</v>
          </cell>
          <cell r="B171" t="str">
            <v>TA246 Upper Ball Joint - change to the new BJ from KingSword BJ1012HA-N</v>
          </cell>
          <cell r="C171">
            <v>20</v>
          </cell>
        </row>
        <row r="172">
          <cell r="A172" t="str">
            <v>BJMI0047K</v>
          </cell>
          <cell r="B172" t="str">
            <v>Mitsubishi Triton Ball Joint - Geomet</v>
          </cell>
          <cell r="C172">
            <v>500</v>
          </cell>
        </row>
        <row r="173">
          <cell r="A173" t="str">
            <v>BLUE 525</v>
          </cell>
          <cell r="B173" t="str">
            <v>Turner Blue</v>
          </cell>
          <cell r="C173">
            <v>4</v>
          </cell>
        </row>
        <row r="174">
          <cell r="A174" t="str">
            <v>C02-2</v>
          </cell>
          <cell r="B174" t="str">
            <v>27mm (1in) ID Alloy Lateral Lock PK/2 - Black</v>
          </cell>
          <cell r="C174">
            <v>200</v>
          </cell>
        </row>
        <row r="175">
          <cell r="A175" t="str">
            <v>CA-003-2</v>
          </cell>
          <cell r="B175" t="str">
            <v>TDCA-003 Ball Joint Kit</v>
          </cell>
          <cell r="C175">
            <v>20</v>
          </cell>
        </row>
        <row r="176">
          <cell r="A176" t="str">
            <v>CA-074</v>
          </cell>
          <cell r="B176" t="str">
            <v>Rear Lower Control Arm - 2 Pc Per Set - Without PU Bush</v>
          </cell>
          <cell r="C176">
            <v>2</v>
          </cell>
        </row>
        <row r="177">
          <cell r="A177" t="str">
            <v>CA-148</v>
          </cell>
          <cell r="B177" t="str">
            <v>Toe Arm</v>
          </cell>
          <cell r="C177">
            <v>157</v>
          </cell>
        </row>
        <row r="178">
          <cell r="A178" t="str">
            <v>CA-20202FJ040</v>
          </cell>
          <cell r="B178" t="str">
            <v>RH Arm without bushing - Change to CA-20202FJ040-NB</v>
          </cell>
          <cell r="C178">
            <v>100</v>
          </cell>
        </row>
        <row r="179">
          <cell r="A179" t="str">
            <v>CA-20202FJ050</v>
          </cell>
          <cell r="B179" t="str">
            <v>LH Arm without bushing - Change to CA-20202FJ050-NB</v>
          </cell>
          <cell r="C179">
            <v>100</v>
          </cell>
        </row>
        <row r="180">
          <cell r="A180" t="str">
            <v>CA-FD0227-NB</v>
          </cell>
          <cell r="B180" t="str">
            <v>Falcon FG LH Upper Control Arm - Without Bush</v>
          </cell>
          <cell r="C180">
            <v>250</v>
          </cell>
        </row>
        <row r="181">
          <cell r="A181" t="str">
            <v>CA-FD0228-NB</v>
          </cell>
          <cell r="B181" t="str">
            <v>Falcon FG RH Upper Control Arm - Without Bush</v>
          </cell>
          <cell r="C181">
            <v>260</v>
          </cell>
        </row>
        <row r="182">
          <cell r="A182" t="str">
            <v>CA-FO024LNB</v>
          </cell>
          <cell r="B182" t="str">
            <v>Territory SX SY LH Radius Arm</v>
          </cell>
          <cell r="C182">
            <v>50</v>
          </cell>
        </row>
        <row r="183">
          <cell r="A183" t="str">
            <v>CA-FO024RNB</v>
          </cell>
          <cell r="B183" t="str">
            <v>Territory SX SY RH Radius Arm</v>
          </cell>
          <cell r="C183">
            <v>50</v>
          </cell>
        </row>
        <row r="184">
          <cell r="A184" t="str">
            <v>CA-HD0063-S1</v>
          </cell>
          <cell r="B184" t="str">
            <v>Honda Accord CM CL FLCA LH</v>
          </cell>
          <cell r="C184">
            <v>150</v>
          </cell>
        </row>
        <row r="185">
          <cell r="A185" t="str">
            <v>CA-HD0064-S1</v>
          </cell>
          <cell r="B185" t="str">
            <v>Honda Accord CM CL FLCA RH</v>
          </cell>
          <cell r="C185">
            <v>178</v>
          </cell>
        </row>
        <row r="186">
          <cell r="A186" t="str">
            <v>CA-HD0134-S3</v>
          </cell>
          <cell r="B186" t="str">
            <v>Honda Jazz FLCA RH</v>
          </cell>
          <cell r="C186">
            <v>50</v>
          </cell>
        </row>
        <row r="187">
          <cell r="A187" t="str">
            <v>CA-HY0106-S1</v>
          </cell>
          <cell r="B187" t="str">
            <v>iX35 Sportage SL RH FLCA TRC1074R</v>
          </cell>
          <cell r="C187">
            <v>50</v>
          </cell>
        </row>
        <row r="188">
          <cell r="A188" t="str">
            <v>CA-MA0142-S1</v>
          </cell>
          <cell r="B188" t="str">
            <v>RH - Control Arm (Second supply - testing LKL-FLCA-2 to replace CA-MA0142-S1)</v>
          </cell>
          <cell r="C188">
            <v>39</v>
          </cell>
        </row>
        <row r="189">
          <cell r="A189" t="str">
            <v>CA-NI0085-S1</v>
          </cell>
          <cell r="B189" t="str">
            <v>Tiida C11 FLCA LH - Black Pin</v>
          </cell>
          <cell r="C189">
            <v>50</v>
          </cell>
        </row>
        <row r="190">
          <cell r="A190" t="str">
            <v>CA-NI0086-S1</v>
          </cell>
          <cell r="B190" t="str">
            <v>Tiida C11 FLCA RH - Black Pin</v>
          </cell>
          <cell r="C190">
            <v>50</v>
          </cell>
        </row>
        <row r="191">
          <cell r="A191" t="str">
            <v>CA-NI0113-S1</v>
          </cell>
          <cell r="B191" t="str">
            <v>Nissan X Trail T31 LH FLCA TRC1031L</v>
          </cell>
          <cell r="C191">
            <v>100</v>
          </cell>
        </row>
        <row r="192">
          <cell r="A192" t="str">
            <v>CA-NI0114-S1</v>
          </cell>
          <cell r="B192" t="str">
            <v>Nissan X Trail T31 RH FLCA TRC1031R</v>
          </cell>
          <cell r="C192">
            <v>134</v>
          </cell>
        </row>
        <row r="193">
          <cell r="A193" t="str">
            <v>CA-NI0231-S1</v>
          </cell>
          <cell r="B193" t="str">
            <v>X-Trail T32 14-On FLCA</v>
          </cell>
          <cell r="C193">
            <v>370</v>
          </cell>
        </row>
        <row r="194">
          <cell r="A194" t="str">
            <v>CA-NI0232-S1</v>
          </cell>
          <cell r="B194" t="str">
            <v>X-Trail T32 14-On FLCA</v>
          </cell>
          <cell r="C194">
            <v>350</v>
          </cell>
        </row>
        <row r="195">
          <cell r="A195" t="str">
            <v>CA-SB0029-S3</v>
          </cell>
          <cell r="B195" t="str">
            <v>Forester SH /GP XV &amp; Crosstrek FLCA + BJ (Hole 10.5) - Change to CA-SB0029-S3-NB</v>
          </cell>
          <cell r="C195">
            <v>5</v>
          </cell>
        </row>
        <row r="196">
          <cell r="A196" t="str">
            <v>CA-SB0183-S3</v>
          </cell>
          <cell r="B196" t="str">
            <v>SJ Forester FLCA (Hole 12.2) + Balljoint change to CA-SB0183-S3-NB</v>
          </cell>
          <cell r="C196">
            <v>20</v>
          </cell>
        </row>
        <row r="197">
          <cell r="A197" t="str">
            <v>CA-TO0157-S2B</v>
          </cell>
          <cell r="B197" t="str">
            <v>Camry LH Arm 48069-33060 (Second supply - testing LKL-FLCA-7 to replace CA-TO0157-S2B)</v>
          </cell>
          <cell r="C197">
            <v>413</v>
          </cell>
        </row>
        <row r="198">
          <cell r="A198" t="str">
            <v>CA-TO0158-S2B</v>
          </cell>
          <cell r="B198" t="str">
            <v>Camry RH Arm 48068-33060 (Second supply - testing LKL-FLCA-8 to replace CA-TO0158-S2B)</v>
          </cell>
          <cell r="C198">
            <v>308</v>
          </cell>
        </row>
        <row r="199">
          <cell r="A199" t="str">
            <v>CA-TO0229-S1</v>
          </cell>
          <cell r="B199" t="str">
            <v>Corolla ZRE150  Series FLCA + BJ</v>
          </cell>
          <cell r="C199">
            <v>50</v>
          </cell>
        </row>
        <row r="200">
          <cell r="A200" t="str">
            <v>CA-TO0263</v>
          </cell>
          <cell r="B200" t="str">
            <v>LH Lower Control Arm (Second supply - testing LKL-FLCA-3 to replace CA-TO0263)</v>
          </cell>
          <cell r="C200">
            <v>24</v>
          </cell>
        </row>
        <row r="201">
          <cell r="A201" t="str">
            <v>CA-TO0278-S1</v>
          </cell>
          <cell r="B201" t="str">
            <v>Toyota Prado 120 &amp; 150  RH</v>
          </cell>
          <cell r="C201">
            <v>50</v>
          </cell>
        </row>
        <row r="202">
          <cell r="A202" t="str">
            <v>CA-TO0413</v>
          </cell>
          <cell r="B202" t="str">
            <v>LH Lower Control Arm</v>
          </cell>
          <cell r="C202">
            <v>200</v>
          </cell>
        </row>
        <row r="203">
          <cell r="A203" t="str">
            <v>CA-TO0414</v>
          </cell>
          <cell r="B203" t="str">
            <v>RH Lower Control Arm</v>
          </cell>
          <cell r="C203">
            <v>200</v>
          </cell>
        </row>
        <row r="204">
          <cell r="A204" t="str">
            <v>CA-TO0415-S1</v>
          </cell>
          <cell r="B204" t="str">
            <v>48069-60050 Prado 150 TRC493|TRC494 LHS</v>
          </cell>
          <cell r="C204">
            <v>100</v>
          </cell>
        </row>
        <row r="205">
          <cell r="A205" t="str">
            <v>CA-TO0416-S1</v>
          </cell>
          <cell r="B205" t="str">
            <v>48068-60050 Prado 150 TRC493|TRC494 RHS</v>
          </cell>
          <cell r="C205">
            <v>100</v>
          </cell>
        </row>
        <row r="206">
          <cell r="A206" t="str">
            <v>CA-VW0091-S2</v>
          </cell>
          <cell r="B206" t="str">
            <v>Golf 4 98-04_Bora 1J  12/99-On_Beetle 9C FLCA RH</v>
          </cell>
          <cell r="C206">
            <v>50</v>
          </cell>
        </row>
        <row r="207">
          <cell r="A207" t="str">
            <v>CA412B</v>
          </cell>
          <cell r="B207" t="str">
            <v>CA412 Bolt/Washer/Nut</v>
          </cell>
          <cell r="C207">
            <v>500</v>
          </cell>
        </row>
        <row r="208">
          <cell r="A208" t="str">
            <v>CA414B</v>
          </cell>
          <cell r="B208" t="str">
            <v>CA414 Bolt/Washer/Nut</v>
          </cell>
          <cell r="C208">
            <v>1000</v>
          </cell>
        </row>
        <row r="209">
          <cell r="A209" t="str">
            <v>CA416B</v>
          </cell>
          <cell r="B209" t="str">
            <v>CA416 camber</v>
          </cell>
          <cell r="C209">
            <v>500</v>
          </cell>
        </row>
        <row r="210">
          <cell r="A210" t="str">
            <v>CA417B</v>
          </cell>
          <cell r="B210" t="str">
            <v>CA417 Bolt/Washer/Nut</v>
          </cell>
          <cell r="C210">
            <v>500</v>
          </cell>
        </row>
        <row r="211">
          <cell r="A211" t="str">
            <v>CB060L</v>
          </cell>
          <cell r="B211" t="str">
            <v>Bracket</v>
          </cell>
          <cell r="C211">
            <v>11</v>
          </cell>
        </row>
        <row r="212">
          <cell r="A212" t="str">
            <v>CB060R</v>
          </cell>
          <cell r="B212" t="str">
            <v>Bracket</v>
          </cell>
          <cell r="C212">
            <v>20</v>
          </cell>
        </row>
        <row r="213">
          <cell r="A213" t="str">
            <v>CB071L</v>
          </cell>
          <cell r="B213" t="str">
            <v>Bracket</v>
          </cell>
          <cell r="C213">
            <v>9</v>
          </cell>
        </row>
        <row r="214">
          <cell r="A214" t="str">
            <v>CB071R</v>
          </cell>
          <cell r="B214" t="str">
            <v>Bracket</v>
          </cell>
          <cell r="C214">
            <v>5</v>
          </cell>
        </row>
        <row r="215">
          <cell r="A215" t="str">
            <v>CB1014</v>
          </cell>
          <cell r="B215" t="str">
            <v>Bracket 173.5x50.7x4.5</v>
          </cell>
          <cell r="C215">
            <v>4</v>
          </cell>
        </row>
        <row r="216">
          <cell r="A216" t="str">
            <v>CB1019</v>
          </cell>
          <cell r="B216" t="str">
            <v>BRACKET TA254 BUMPSTOP</v>
          </cell>
          <cell r="C216">
            <v>894</v>
          </cell>
        </row>
        <row r="217">
          <cell r="A217" t="str">
            <v>CB1019BON</v>
          </cell>
          <cell r="B217" t="str">
            <v>Bonded Shell</v>
          </cell>
          <cell r="C217">
            <v>19</v>
          </cell>
        </row>
        <row r="218">
          <cell r="A218" t="str">
            <v>CB1035-2</v>
          </cell>
          <cell r="B218" t="str">
            <v>BRACKET 140X90X6 +CB967- Plating Black</v>
          </cell>
          <cell r="C218">
            <v>2</v>
          </cell>
        </row>
        <row r="219">
          <cell r="A219" t="str">
            <v>CB1042</v>
          </cell>
          <cell r="B219" t="str">
            <v>BRACKET 95X146X5 ASSEMBLY P-904 &amp; 5B517</v>
          </cell>
          <cell r="C219">
            <v>4</v>
          </cell>
        </row>
        <row r="220">
          <cell r="A220" t="str">
            <v>CB107</v>
          </cell>
          <cell r="B220" t="str">
            <v>Bracket</v>
          </cell>
          <cell r="C220">
            <v>166</v>
          </cell>
        </row>
        <row r="221">
          <cell r="A221" t="str">
            <v>CB1075IC</v>
          </cell>
          <cell r="B221" t="str">
            <v>Bracket Welding</v>
          </cell>
          <cell r="C221">
            <v>4</v>
          </cell>
        </row>
        <row r="222">
          <cell r="A222" t="str">
            <v>CB1085IC</v>
          </cell>
          <cell r="B222" t="str">
            <v>Welded Assembly Bracket Strut Bar LH</v>
          </cell>
          <cell r="C222">
            <v>5</v>
          </cell>
        </row>
        <row r="223">
          <cell r="A223" t="str">
            <v>CB1086IC</v>
          </cell>
          <cell r="B223" t="str">
            <v>Welded Assembly Bracket Strut Bar RH</v>
          </cell>
          <cell r="C223">
            <v>5</v>
          </cell>
        </row>
        <row r="224">
          <cell r="A224" t="str">
            <v>CB1091IC</v>
          </cell>
          <cell r="B224" t="str">
            <v>Bracket Left</v>
          </cell>
          <cell r="C224">
            <v>100</v>
          </cell>
        </row>
        <row r="225">
          <cell r="A225" t="str">
            <v>CB1103IC</v>
          </cell>
          <cell r="B225" t="str">
            <v>Bracket Welding - LH</v>
          </cell>
          <cell r="C225">
            <v>7</v>
          </cell>
        </row>
        <row r="226">
          <cell r="A226" t="str">
            <v>CB1104IC</v>
          </cell>
          <cell r="B226" t="str">
            <v>Bracket Welding - RH</v>
          </cell>
          <cell r="C226">
            <v>7</v>
          </cell>
        </row>
        <row r="227">
          <cell r="A227" t="str">
            <v>CB1116-2</v>
          </cell>
          <cell r="B227" t="str">
            <v xml:space="preserve">Center Bearing Offset Bracket / TRC0044-A - ED Black </v>
          </cell>
          <cell r="C227">
            <v>200</v>
          </cell>
        </row>
        <row r="228">
          <cell r="A228" t="str">
            <v>CB1117-2</v>
          </cell>
          <cell r="B228" t="str">
            <v>Center Bearing Offset Bracket / TRC0044-B- ED Black</v>
          </cell>
          <cell r="C228">
            <v>200</v>
          </cell>
        </row>
        <row r="229">
          <cell r="A229" t="str">
            <v>CB1136IC</v>
          </cell>
          <cell r="B229" t="str">
            <v>Welded Assembly Bracket Left</v>
          </cell>
          <cell r="C229">
            <v>1</v>
          </cell>
        </row>
        <row r="230">
          <cell r="A230" t="str">
            <v>CB115</v>
          </cell>
          <cell r="B230" t="str">
            <v>Bracket</v>
          </cell>
          <cell r="C230">
            <v>200</v>
          </cell>
        </row>
        <row r="231">
          <cell r="A231" t="str">
            <v>CB116</v>
          </cell>
          <cell r="B231" t="str">
            <v>Bracket 130.4x32.5x9.6</v>
          </cell>
          <cell r="C231">
            <v>256</v>
          </cell>
        </row>
        <row r="232">
          <cell r="A232" t="str">
            <v>CB119R</v>
          </cell>
          <cell r="B232" t="str">
            <v>Bracket</v>
          </cell>
          <cell r="C232">
            <v>100</v>
          </cell>
        </row>
        <row r="233">
          <cell r="A233" t="str">
            <v>CB173</v>
          </cell>
          <cell r="B233" t="str">
            <v>Bracket</v>
          </cell>
          <cell r="C233">
            <v>106</v>
          </cell>
        </row>
        <row r="234">
          <cell r="A234" t="str">
            <v>CB180R</v>
          </cell>
          <cell r="B234" t="str">
            <v>Bracket</v>
          </cell>
          <cell r="C234">
            <v>4</v>
          </cell>
        </row>
        <row r="235">
          <cell r="A235" t="str">
            <v>CB204</v>
          </cell>
          <cell r="B235" t="str">
            <v>Bracket</v>
          </cell>
          <cell r="C235">
            <v>100</v>
          </cell>
        </row>
        <row r="236">
          <cell r="A236" t="str">
            <v>CB229L</v>
          </cell>
          <cell r="B236" t="str">
            <v>Alloy Bracket KBR14</v>
          </cell>
          <cell r="C236">
            <v>17</v>
          </cell>
        </row>
        <row r="237">
          <cell r="A237" t="str">
            <v>CB234R</v>
          </cell>
          <cell r="B237" t="str">
            <v>Subaru D-Bush Bracket Brace R/h (steel)</v>
          </cell>
          <cell r="C237">
            <v>19</v>
          </cell>
        </row>
        <row r="238">
          <cell r="A238" t="str">
            <v>CB235</v>
          </cell>
          <cell r="B238" t="str">
            <v>STEEL E/MOUNT HOUSING</v>
          </cell>
          <cell r="C238">
            <v>200</v>
          </cell>
        </row>
        <row r="239">
          <cell r="A239" t="str">
            <v>CB238L</v>
          </cell>
          <cell r="B239" t="str">
            <v>Bar Mounting Plate LH</v>
          </cell>
          <cell r="C239">
            <v>10</v>
          </cell>
        </row>
        <row r="240">
          <cell r="A240" t="str">
            <v>CB238R</v>
          </cell>
          <cell r="B240" t="str">
            <v>Bar Mounting Plate RH</v>
          </cell>
          <cell r="C240">
            <v>10</v>
          </cell>
        </row>
        <row r="241">
          <cell r="A241" t="str">
            <v>CB295</v>
          </cell>
          <cell r="B241" t="str">
            <v>Bumpstop Mount</v>
          </cell>
          <cell r="C241">
            <v>600</v>
          </cell>
        </row>
        <row r="242">
          <cell r="A242" t="str">
            <v>CB304</v>
          </cell>
          <cell r="B242" t="str">
            <v>Ta254 Bumpstop - Plating</v>
          </cell>
          <cell r="C242">
            <v>263</v>
          </cell>
        </row>
        <row r="243">
          <cell r="A243" t="str">
            <v>CB304BON</v>
          </cell>
          <cell r="B243" t="str">
            <v>Bonded Bracket</v>
          </cell>
          <cell r="C243">
            <v>18</v>
          </cell>
        </row>
        <row r="244">
          <cell r="A244" t="str">
            <v>CB356</v>
          </cell>
          <cell r="B244" t="str">
            <v>Upper Welded/Plated Assembly</v>
          </cell>
          <cell r="C244">
            <v>53</v>
          </cell>
        </row>
        <row r="245">
          <cell r="A245" t="str">
            <v>CB534LIC</v>
          </cell>
          <cell r="B245" t="str">
            <v>Bracket Geometry L/H - KBR37</v>
          </cell>
          <cell r="C245">
            <v>2</v>
          </cell>
        </row>
        <row r="246">
          <cell r="A246" t="str">
            <v>CB534RIC</v>
          </cell>
          <cell r="B246" t="str">
            <v>Bracket Geometry R/H - KBR37</v>
          </cell>
          <cell r="C246">
            <v>12</v>
          </cell>
        </row>
        <row r="247">
          <cell r="A247" t="str">
            <v>CB539-2</v>
          </cell>
          <cell r="B247" t="str">
            <v>BMW Diff Bracket - Black Anodise</v>
          </cell>
          <cell r="C247">
            <v>7</v>
          </cell>
        </row>
        <row r="248">
          <cell r="A248" t="str">
            <v>CB544</v>
          </cell>
          <cell r="B248" t="str">
            <v>Handbrake Relocation  Bracket</v>
          </cell>
          <cell r="C248">
            <v>100</v>
          </cell>
        </row>
        <row r="249">
          <cell r="A249" t="str">
            <v>CB606</v>
          </cell>
          <cell r="B249" t="str">
            <v>Sensor Bracket</v>
          </cell>
          <cell r="C249">
            <v>50</v>
          </cell>
        </row>
        <row r="250">
          <cell r="A250" t="str">
            <v>CB801</v>
          </cell>
          <cell r="B250" t="str">
            <v>Mustang Rear Sway Bar Mount</v>
          </cell>
          <cell r="C250">
            <v>10</v>
          </cell>
        </row>
        <row r="251">
          <cell r="A251" t="str">
            <v>CB939-ASSEM</v>
          </cell>
          <cell r="B251" t="str">
            <v>WELDING CB939 + 5N012</v>
          </cell>
          <cell r="C251">
            <v>200</v>
          </cell>
        </row>
        <row r="252">
          <cell r="A252" t="str">
            <v>CB969-2</v>
          </cell>
          <cell r="B252" t="str">
            <v>Bracket 49.2x13x25 ALU - Black Anodized</v>
          </cell>
          <cell r="C252">
            <v>344</v>
          </cell>
        </row>
        <row r="253">
          <cell r="A253" t="str">
            <v>CB975</v>
          </cell>
          <cell r="B253" t="str">
            <v>Saddle 3mm Plate</v>
          </cell>
          <cell r="C253">
            <v>3</v>
          </cell>
        </row>
        <row r="254">
          <cell r="A254" t="str">
            <v>CB992</v>
          </cell>
          <cell r="B254" t="str">
            <v>Bracket 85.5x45x3</v>
          </cell>
          <cell r="C254">
            <v>600</v>
          </cell>
        </row>
        <row r="255">
          <cell r="A255" t="str">
            <v>CB996</v>
          </cell>
          <cell r="B255" t="str">
            <v>ABS WIRE BRACKET - FORGING 57x30x3</v>
          </cell>
          <cell r="C255">
            <v>500</v>
          </cell>
        </row>
        <row r="256">
          <cell r="A256" t="str">
            <v>CB997</v>
          </cell>
          <cell r="B256" t="str">
            <v>BRAKE LINE BRACKET 45.2x30x3</v>
          </cell>
          <cell r="C256">
            <v>500</v>
          </cell>
        </row>
        <row r="257">
          <cell r="A257" t="str">
            <v>CNM12X1.5X140</v>
          </cell>
          <cell r="B257" t="str">
            <v>Centre Alloy Bar 19AF Hex</v>
          </cell>
          <cell r="C257">
            <v>181</v>
          </cell>
        </row>
        <row r="258">
          <cell r="A258" t="str">
            <v>CNM34-16X155-RS-2</v>
          </cell>
          <cell r="B258" t="str">
            <v>33mm A/F Hex Alloy Bar RS - Engrave WL logo - Black</v>
          </cell>
          <cell r="C258">
            <v>5</v>
          </cell>
        </row>
        <row r="259">
          <cell r="A259" t="str">
            <v>CNM34-16X155-RS-SP-2</v>
          </cell>
          <cell r="B259" t="str">
            <v>33mm A/F Hex Alloy Bar RS - Engrave SP logo - Black</v>
          </cell>
          <cell r="C259">
            <v>5</v>
          </cell>
        </row>
        <row r="260">
          <cell r="A260" t="str">
            <v>CON-0070</v>
          </cell>
          <cell r="B260" t="str">
            <v>Sealing ring (82172)</v>
          </cell>
          <cell r="C260">
            <v>100</v>
          </cell>
        </row>
        <row r="261">
          <cell r="A261" t="str">
            <v>CON-0072</v>
          </cell>
          <cell r="B261" t="str">
            <v>Intermediate Housing (8147)</v>
          </cell>
          <cell r="C261">
            <v>1</v>
          </cell>
        </row>
        <row r="262">
          <cell r="A262" t="str">
            <v>CON-0083</v>
          </cell>
          <cell r="B262" t="str">
            <v>Component Valve Housing (8211)</v>
          </cell>
          <cell r="C262">
            <v>1</v>
          </cell>
        </row>
        <row r="263">
          <cell r="A263" t="str">
            <v>CON-0088</v>
          </cell>
          <cell r="B263" t="str">
            <v>Rotor (8206)</v>
          </cell>
          <cell r="C263">
            <v>2</v>
          </cell>
        </row>
        <row r="264">
          <cell r="A264" t="str">
            <v>CON-8732</v>
          </cell>
          <cell r="B264" t="str">
            <v>Sunk Key</v>
          </cell>
          <cell r="C264">
            <v>5</v>
          </cell>
        </row>
        <row r="265">
          <cell r="A265" t="str">
            <v>DDLC100</v>
          </cell>
          <cell r="B265" t="str">
            <v>Diff Drop Kit</v>
          </cell>
          <cell r="C265">
            <v>56</v>
          </cell>
        </row>
        <row r="266">
          <cell r="A266" t="str">
            <v>DT975</v>
          </cell>
          <cell r="B266" t="str">
            <v>Pitch Stops Golf Mk7</v>
          </cell>
          <cell r="C266">
            <v>5</v>
          </cell>
        </row>
        <row r="267">
          <cell r="A267" t="str">
            <v>ES-3096-.875</v>
          </cell>
          <cell r="B267" t="str">
            <v>Ball Joint 7/8in UNF Rht + 5N088</v>
          </cell>
          <cell r="C267">
            <v>475</v>
          </cell>
        </row>
        <row r="268">
          <cell r="A268" t="str">
            <v>F0157</v>
          </cell>
          <cell r="B268" t="str">
            <v>Tube 19x14.3x54</v>
          </cell>
          <cell r="C268">
            <v>268</v>
          </cell>
        </row>
        <row r="269">
          <cell r="A269" t="str">
            <v>F0168</v>
          </cell>
          <cell r="B269" t="str">
            <v>Tube 19x14.3x73</v>
          </cell>
          <cell r="C269">
            <v>42</v>
          </cell>
        </row>
        <row r="270">
          <cell r="A270" t="str">
            <v>F0248</v>
          </cell>
          <cell r="B270" t="str">
            <v>Tube 22.2x12.3x64.2</v>
          </cell>
          <cell r="C270">
            <v>6</v>
          </cell>
        </row>
        <row r="271">
          <cell r="A271" t="str">
            <v>F0277</v>
          </cell>
          <cell r="B271" t="str">
            <v>Tube 22.2x14.3x76</v>
          </cell>
          <cell r="C271">
            <v>27</v>
          </cell>
        </row>
        <row r="272">
          <cell r="A272" t="str">
            <v>F0416</v>
          </cell>
          <cell r="B272" t="str">
            <v>Tube 25.4x16.2x45</v>
          </cell>
          <cell r="C272">
            <v>24</v>
          </cell>
        </row>
        <row r="273">
          <cell r="A273" t="str">
            <v>F0648</v>
          </cell>
          <cell r="B273" t="str">
            <v>Tube 25x19x54</v>
          </cell>
          <cell r="C273">
            <v>460</v>
          </cell>
        </row>
        <row r="274">
          <cell r="A274" t="str">
            <v>F0706</v>
          </cell>
          <cell r="B274" t="str">
            <v>Tube Special Offset 43-33x16.2x56.5 Stepped</v>
          </cell>
          <cell r="C274">
            <v>198</v>
          </cell>
        </row>
        <row r="275">
          <cell r="A275" t="str">
            <v>F0923</v>
          </cell>
          <cell r="B275" t="str">
            <v>Tube 30x11.95x61 Offset Knurled</v>
          </cell>
          <cell r="C275">
            <v>15</v>
          </cell>
        </row>
        <row r="276">
          <cell r="A276" t="str">
            <v>F0940</v>
          </cell>
          <cell r="B276" t="str">
            <v>Tube 14x8.2x26</v>
          </cell>
          <cell r="C276">
            <v>51</v>
          </cell>
        </row>
        <row r="277">
          <cell r="A277" t="str">
            <v>F0970</v>
          </cell>
          <cell r="B277" t="str">
            <v>Tube Steel Spacer 11mm 2xMachine Grooves</v>
          </cell>
          <cell r="C277">
            <v>105</v>
          </cell>
        </row>
        <row r="278">
          <cell r="A278" t="str">
            <v>F1019</v>
          </cell>
          <cell r="B278" t="str">
            <v>Tube Offset (KCA334) 42-28.8X19X57 Stepped and Knurled</v>
          </cell>
          <cell r="C278">
            <v>18</v>
          </cell>
        </row>
        <row r="279">
          <cell r="A279" t="str">
            <v>F1115</v>
          </cell>
          <cell r="B279" t="str">
            <v>Tube 22.2x14.3x59.8 Harden</v>
          </cell>
          <cell r="C279">
            <v>40</v>
          </cell>
        </row>
        <row r="280">
          <cell r="A280" t="str">
            <v>F1207</v>
          </cell>
          <cell r="B280" t="str">
            <v>Tube 40x33x84.8 Step Alloy KCA402</v>
          </cell>
          <cell r="C280">
            <v>50</v>
          </cell>
        </row>
        <row r="281">
          <cell r="A281" t="str">
            <v>F1234</v>
          </cell>
          <cell r="B281" t="str">
            <v>TUBE 27X14.2X16 ALUMINIUM</v>
          </cell>
          <cell r="C281">
            <v>250</v>
          </cell>
        </row>
        <row r="282">
          <cell r="A282" t="str">
            <v>F1274</v>
          </cell>
          <cell r="B282" t="str">
            <v>Tube 50xSpecialx101 Aluminium</v>
          </cell>
          <cell r="C282">
            <v>2</v>
          </cell>
        </row>
        <row r="283">
          <cell r="A283" t="str">
            <v>F1406AL</v>
          </cell>
          <cell r="B283" t="str">
            <v xml:space="preserve"> 32X18.2X75 ALUMINIUM</v>
          </cell>
          <cell r="C283">
            <v>6</v>
          </cell>
        </row>
        <row r="284">
          <cell r="A284" t="str">
            <v>F1412</v>
          </cell>
          <cell r="B284" t="str">
            <v>Tube 25.4x12.2x51 Offset Knurled</v>
          </cell>
          <cell r="C284">
            <v>209</v>
          </cell>
        </row>
        <row r="285">
          <cell r="A285" t="str">
            <v>F1588</v>
          </cell>
          <cell r="B285" t="str">
            <v>TUBE 32.0X18.2X72.5 ALUMINUM</v>
          </cell>
          <cell r="C285">
            <v>10</v>
          </cell>
        </row>
        <row r="286">
          <cell r="A286" t="str">
            <v>F1836</v>
          </cell>
          <cell r="B286" t="str">
            <v>Tube 38x27/16.2x81.5 Stepped</v>
          </cell>
          <cell r="C286">
            <v>110</v>
          </cell>
        </row>
        <row r="287">
          <cell r="A287" t="str">
            <v>F1839-CD</v>
          </cell>
          <cell r="B287" t="str">
            <v>Tube 28.6x16.3x80 - Crossed Drilled</v>
          </cell>
          <cell r="C287">
            <v>5</v>
          </cell>
        </row>
        <row r="288">
          <cell r="A288" t="str">
            <v>F2025</v>
          </cell>
          <cell r="B288" t="str">
            <v>SPECIAL SHELL INNER TUBE 45.9-32.9-23.8x18.2x52.3 Stepped</v>
          </cell>
          <cell r="C288">
            <v>4</v>
          </cell>
        </row>
        <row r="289">
          <cell r="A289" t="str">
            <v>F359K</v>
          </cell>
          <cell r="B289" t="str">
            <v>Tube Spacer Kit - Clear</v>
          </cell>
          <cell r="C289">
            <v>205</v>
          </cell>
        </row>
        <row r="290">
          <cell r="A290" t="str">
            <v>F8218</v>
          </cell>
          <cell r="B290" t="str">
            <v>Tube Offset 32x14.3x79.9</v>
          </cell>
          <cell r="C290">
            <v>5</v>
          </cell>
        </row>
        <row r="291">
          <cell r="A291" t="str">
            <v>F8361</v>
          </cell>
          <cell r="B291" t="str">
            <v>Tube 48-35x14.3x60 Offset Special</v>
          </cell>
          <cell r="C291">
            <v>5</v>
          </cell>
        </row>
        <row r="292">
          <cell r="A292" t="str">
            <v>F9198</v>
          </cell>
          <cell r="B292" t="str">
            <v>Tube 22.2x14.3x44 Knurl</v>
          </cell>
          <cell r="C292">
            <v>20</v>
          </cell>
        </row>
        <row r="293">
          <cell r="A293" t="str">
            <v>F9244</v>
          </cell>
          <cell r="B293" t="str">
            <v>Tube 44.4x19x86.5 Special</v>
          </cell>
          <cell r="C293">
            <v>5</v>
          </cell>
        </row>
        <row r="294">
          <cell r="A294" t="str">
            <v>F9384-HRD</v>
          </cell>
          <cell r="B294" t="str">
            <v>Tube 25.4x18.26x100 Stepped and Hardened</v>
          </cell>
          <cell r="C294">
            <v>3</v>
          </cell>
        </row>
        <row r="295">
          <cell r="A295" t="str">
            <v>F9418-HRD</v>
          </cell>
          <cell r="B295" t="str">
            <v>Tube 22.4x16.5x60 - Hardened (Replace For F1730)</v>
          </cell>
          <cell r="C295">
            <v>34</v>
          </cell>
        </row>
        <row r="296">
          <cell r="A296" t="str">
            <v>F9424</v>
          </cell>
          <cell r="B296" t="str">
            <v>Tube 19.2x14.3x50.5 hardened (Replace for F8145) - (CNC OD and Special Chamfer ID)</v>
          </cell>
          <cell r="C296">
            <v>1608</v>
          </cell>
        </row>
        <row r="297">
          <cell r="A297" t="str">
            <v>FA96-A</v>
          </cell>
          <cell r="B297" t="str">
            <v>Idler Arm Forging</v>
          </cell>
          <cell r="C297">
            <v>500</v>
          </cell>
        </row>
        <row r="298">
          <cell r="A298" t="str">
            <v>FG0012-000003</v>
          </cell>
          <cell r="B298" t="str">
            <v>Forged Eyelet Stub Alignment</v>
          </cell>
          <cell r="C298">
            <v>62</v>
          </cell>
        </row>
        <row r="299">
          <cell r="A299" t="str">
            <v>FG0021-000002</v>
          </cell>
          <cell r="B299" t="str">
            <v>Forged Eyelet - Rev.B</v>
          </cell>
          <cell r="C299">
            <v>605</v>
          </cell>
        </row>
        <row r="300">
          <cell r="A300" t="str">
            <v>FG0021-000009</v>
          </cell>
          <cell r="B300" t="str">
            <v>Forged End Ring</v>
          </cell>
          <cell r="C300">
            <v>44</v>
          </cell>
        </row>
        <row r="301">
          <cell r="A301" t="str">
            <v>FG0030-000000A</v>
          </cell>
          <cell r="B301" t="str">
            <v>Straight Forged Eyelet</v>
          </cell>
          <cell r="C301">
            <v>1343</v>
          </cell>
        </row>
        <row r="302">
          <cell r="A302" t="str">
            <v>FG0054-000003</v>
          </cell>
          <cell r="B302" t="str">
            <v>Forged End Ring</v>
          </cell>
          <cell r="C302">
            <v>1050</v>
          </cell>
        </row>
        <row r="303">
          <cell r="A303" t="str">
            <v>FG0054-000004</v>
          </cell>
          <cell r="B303" t="str">
            <v>Forged End Ring</v>
          </cell>
          <cell r="C303">
            <v>1255</v>
          </cell>
        </row>
        <row r="304">
          <cell r="A304" t="str">
            <v>FG0071-000000</v>
          </cell>
          <cell r="B304" t="str">
            <v>BJ Forging - 71R - TA296 R - Late Dmax/Colorado</v>
          </cell>
          <cell r="C304">
            <v>184</v>
          </cell>
        </row>
        <row r="305">
          <cell r="A305" t="str">
            <v>FG0073-000001</v>
          </cell>
          <cell r="B305" t="str">
            <v>BJ Forging</v>
          </cell>
          <cell r="C305">
            <v>3</v>
          </cell>
        </row>
        <row r="306">
          <cell r="A306" t="str">
            <v>FG0146-000000</v>
          </cell>
          <cell r="B306" t="str">
            <v>BJ FORGING - 146R - TA239 R - HILUX</v>
          </cell>
          <cell r="C306">
            <v>1392</v>
          </cell>
        </row>
        <row r="307">
          <cell r="A307" t="str">
            <v>FG0330-000000</v>
          </cell>
          <cell r="B307" t="str">
            <v>Diff Drop Bracket - External Machining</v>
          </cell>
          <cell r="C307">
            <v>10</v>
          </cell>
        </row>
        <row r="308">
          <cell r="A308" t="str">
            <v>FG5</v>
          </cell>
          <cell r="B308" t="str">
            <v>Right Hand Rear Blade Trailing Arm</v>
          </cell>
          <cell r="C308">
            <v>300</v>
          </cell>
        </row>
        <row r="309">
          <cell r="A309" t="str">
            <v>FR3Z3078C</v>
          </cell>
          <cell r="B309" t="str">
            <v>Track Control Arm RH - With Bushing</v>
          </cell>
          <cell r="C309">
            <v>100</v>
          </cell>
        </row>
        <row r="310">
          <cell r="A310" t="str">
            <v>FR3Z3079C</v>
          </cell>
          <cell r="B310" t="str">
            <v>Track Control Arm LH - With Busing</v>
          </cell>
          <cell r="C310">
            <v>100</v>
          </cell>
        </row>
        <row r="311">
          <cell r="A311" t="str">
            <v>FSB-001</v>
          </cell>
          <cell r="B311" t="str">
            <v>SuperPro Lift Block - Blue</v>
          </cell>
          <cell r="C311">
            <v>42</v>
          </cell>
        </row>
        <row r="312">
          <cell r="A312" t="str">
            <v>FSB-002</v>
          </cell>
          <cell r="B312" t="str">
            <v>SuperPro Lift Block - Blue</v>
          </cell>
          <cell r="C312">
            <v>108</v>
          </cell>
        </row>
        <row r="313">
          <cell r="A313" t="str">
            <v>FSB-005</v>
          </cell>
          <cell r="B313" t="str">
            <v>SuperPro Lift Block - Blue</v>
          </cell>
          <cell r="C313">
            <v>46</v>
          </cell>
        </row>
        <row r="314">
          <cell r="A314" t="str">
            <v>FSB-006</v>
          </cell>
          <cell r="B314" t="str">
            <v>SuperPro Lift Block</v>
          </cell>
          <cell r="C314">
            <v>96</v>
          </cell>
        </row>
        <row r="315">
          <cell r="A315" t="str">
            <v>FSB-009</v>
          </cell>
          <cell r="B315" t="str">
            <v>SuperPro Lift Block - Blue</v>
          </cell>
          <cell r="C315">
            <v>46</v>
          </cell>
        </row>
        <row r="316">
          <cell r="A316" t="str">
            <v>FSK-001</v>
          </cell>
          <cell r="B316" t="str">
            <v>Formula Greasable Shackle</v>
          </cell>
          <cell r="C316">
            <v>699</v>
          </cell>
        </row>
        <row r="317">
          <cell r="A317" t="str">
            <v>FSK-002</v>
          </cell>
          <cell r="B317" t="str">
            <v>Formula Greasable Shackle</v>
          </cell>
          <cell r="C317">
            <v>820</v>
          </cell>
        </row>
        <row r="318">
          <cell r="A318" t="str">
            <v>FSK-003</v>
          </cell>
          <cell r="B318" t="str">
            <v>Formula Greasable Shackle</v>
          </cell>
          <cell r="C318">
            <v>914</v>
          </cell>
        </row>
        <row r="319">
          <cell r="A319" t="str">
            <v>FSK-004</v>
          </cell>
          <cell r="B319" t="str">
            <v>Formula Greasable Shackle</v>
          </cell>
          <cell r="C319">
            <v>466</v>
          </cell>
        </row>
        <row r="320">
          <cell r="A320" t="str">
            <v>FSK-005</v>
          </cell>
          <cell r="B320" t="str">
            <v>Formula Greasable Shackle</v>
          </cell>
          <cell r="C320">
            <v>158</v>
          </cell>
        </row>
        <row r="321">
          <cell r="A321" t="str">
            <v>FSK-007</v>
          </cell>
          <cell r="B321" t="str">
            <v>Formula Greasable Shackle</v>
          </cell>
          <cell r="C321">
            <v>261</v>
          </cell>
        </row>
        <row r="322">
          <cell r="A322" t="str">
            <v>FSK-008</v>
          </cell>
          <cell r="B322" t="str">
            <v>Formula Greasable Shackle</v>
          </cell>
          <cell r="C322">
            <v>243</v>
          </cell>
        </row>
        <row r="323">
          <cell r="A323" t="str">
            <v>FSK-009</v>
          </cell>
          <cell r="B323" t="str">
            <v>Formula Greasable Shackle</v>
          </cell>
          <cell r="C323">
            <v>361</v>
          </cell>
        </row>
        <row r="324">
          <cell r="A324" t="str">
            <v>FSK-011</v>
          </cell>
          <cell r="B324" t="str">
            <v>Formula Greasable Shackle</v>
          </cell>
          <cell r="C324">
            <v>287</v>
          </cell>
        </row>
        <row r="325">
          <cell r="A325" t="str">
            <v>FSK-012</v>
          </cell>
          <cell r="B325" t="str">
            <v>Formula Greasable Shackle</v>
          </cell>
          <cell r="C325">
            <v>119</v>
          </cell>
        </row>
        <row r="326">
          <cell r="A326" t="str">
            <v>FSK-013</v>
          </cell>
          <cell r="B326" t="str">
            <v>Formula Greasable Shackle</v>
          </cell>
          <cell r="C326">
            <v>318</v>
          </cell>
        </row>
        <row r="327">
          <cell r="A327" t="str">
            <v>FSK-014</v>
          </cell>
          <cell r="B327" t="str">
            <v>Formula Greasable Shackle</v>
          </cell>
          <cell r="C327">
            <v>974</v>
          </cell>
        </row>
        <row r="328">
          <cell r="A328" t="str">
            <v>FSK-015</v>
          </cell>
          <cell r="B328" t="str">
            <v>Formula Greasable Shackle</v>
          </cell>
          <cell r="C328">
            <v>1259</v>
          </cell>
        </row>
        <row r="329">
          <cell r="A329" t="str">
            <v>FSK-016</v>
          </cell>
          <cell r="B329" t="str">
            <v>Formula Greasable Shackle</v>
          </cell>
          <cell r="C329">
            <v>769</v>
          </cell>
        </row>
        <row r="330">
          <cell r="A330" t="str">
            <v>FSK-017</v>
          </cell>
          <cell r="B330" t="str">
            <v>Formula Greasable Shackle</v>
          </cell>
          <cell r="C330">
            <v>160</v>
          </cell>
        </row>
        <row r="331">
          <cell r="A331" t="str">
            <v>FSK-018</v>
          </cell>
          <cell r="B331" t="str">
            <v>Mitsubishi Triton MV Greaseable Shackle</v>
          </cell>
          <cell r="C331">
            <v>71</v>
          </cell>
        </row>
        <row r="332">
          <cell r="A332" t="str">
            <v>FSP-001</v>
          </cell>
          <cell r="B332" t="str">
            <v>Greasable Pin 129.5mm Long</v>
          </cell>
          <cell r="C332">
            <v>5411</v>
          </cell>
        </row>
        <row r="333">
          <cell r="A333" t="str">
            <v>FSP-002</v>
          </cell>
          <cell r="B333" t="str">
            <v>Greasable Pin 112.5mm long</v>
          </cell>
          <cell r="C333">
            <v>280</v>
          </cell>
        </row>
        <row r="334">
          <cell r="A334" t="str">
            <v>FSP-003</v>
          </cell>
          <cell r="B334" t="str">
            <v>Formula Greasable Fixed Pin</v>
          </cell>
          <cell r="C334">
            <v>954</v>
          </cell>
        </row>
        <row r="335">
          <cell r="A335" t="str">
            <v>FSP-004</v>
          </cell>
          <cell r="B335" t="str">
            <v>Formula Greasable Fixed Pin</v>
          </cell>
          <cell r="C335">
            <v>204</v>
          </cell>
        </row>
        <row r="336">
          <cell r="A336" t="str">
            <v>FSS-001</v>
          </cell>
          <cell r="B336" t="str">
            <v>SuperPro Strut Spacer</v>
          </cell>
          <cell r="C336">
            <v>49</v>
          </cell>
        </row>
        <row r="337">
          <cell r="A337" t="str">
            <v>FSS-002</v>
          </cell>
          <cell r="B337" t="str">
            <v>SuperPro Strut Spacer</v>
          </cell>
          <cell r="C337">
            <v>100</v>
          </cell>
        </row>
        <row r="338">
          <cell r="A338" t="str">
            <v>FSS-006</v>
          </cell>
          <cell r="B338" t="str">
            <v>SuperPro Strut Spacer</v>
          </cell>
          <cell r="C338">
            <v>50</v>
          </cell>
        </row>
        <row r="339">
          <cell r="A339" t="str">
            <v>FSS-008-6</v>
          </cell>
          <cell r="B339" t="str">
            <v>SuperPro Strut Spacer</v>
          </cell>
          <cell r="C339">
            <v>216</v>
          </cell>
        </row>
        <row r="340">
          <cell r="A340" t="str">
            <v>FUB-006</v>
          </cell>
          <cell r="B340" t="str">
            <v>Formula U Bolt 14x62x210 Square</v>
          </cell>
          <cell r="C340">
            <v>600</v>
          </cell>
        </row>
        <row r="341">
          <cell r="A341" t="str">
            <v>FUB-009</v>
          </cell>
          <cell r="B341" t="str">
            <v>Formula U Bolt 14x88x240 Round</v>
          </cell>
          <cell r="C341">
            <v>108</v>
          </cell>
        </row>
        <row r="342">
          <cell r="A342" t="str">
            <v>GOLD HP85B-MFPR</v>
          </cell>
          <cell r="B342" t="str">
            <v>85 Duro Part B Pigmented Red (Mercury Free)</v>
          </cell>
          <cell r="C342">
            <v>184.5</v>
          </cell>
        </row>
        <row r="343">
          <cell r="A343" t="str">
            <v>H-FA62EC</v>
          </cell>
          <cell r="B343" t="str">
            <v>Black Ecoat Spring Saddle Housing + Shel</v>
          </cell>
          <cell r="C343">
            <v>500</v>
          </cell>
        </row>
        <row r="344">
          <cell r="A344" t="str">
            <v>JFC052</v>
          </cell>
          <cell r="B344" t="str">
            <v>Toyota Hilux KUN26 Strut - including nut JFC067-H already installed</v>
          </cell>
          <cell r="C344">
            <v>2000</v>
          </cell>
        </row>
        <row r="345">
          <cell r="A345" t="str">
            <v>JFC067-D</v>
          </cell>
          <cell r="B345" t="str">
            <v>Suit JFC067 mount BLK</v>
          </cell>
          <cell r="C345">
            <v>800</v>
          </cell>
        </row>
        <row r="346">
          <cell r="A346" t="str">
            <v>JFC110</v>
          </cell>
          <cell r="B346" t="str">
            <v>Strut Cap D-MAX/Colorado - including nut</v>
          </cell>
          <cell r="C346">
            <v>1000</v>
          </cell>
        </row>
        <row r="347">
          <cell r="A347" t="str">
            <v>JFT779-12</v>
          </cell>
          <cell r="B347" t="str">
            <v>JFT779 with SB hole at 12mm - LH</v>
          </cell>
          <cell r="C347">
            <v>50</v>
          </cell>
        </row>
        <row r="348">
          <cell r="A348" t="str">
            <v>KCA313-TR</v>
          </cell>
          <cell r="B348" t="str">
            <v>Bump Steer Correction - Tie Rods Only</v>
          </cell>
          <cell r="C348">
            <v>50</v>
          </cell>
        </row>
        <row r="349">
          <cell r="A349" t="str">
            <v>KCA468</v>
          </cell>
          <cell r="B349" t="str">
            <v>Lower Ball Joint / Camber Adjuster (M14 Pin)</v>
          </cell>
          <cell r="C349">
            <v>5</v>
          </cell>
        </row>
        <row r="350">
          <cell r="A350" t="str">
            <v>KLC154</v>
          </cell>
          <cell r="B350" t="str">
            <v>Sway Bar Link Kit - Adjustable</v>
          </cell>
          <cell r="C350">
            <v>10</v>
          </cell>
        </row>
        <row r="351">
          <cell r="A351" t="str">
            <v>KLC180-335</v>
          </cell>
          <cell r="B351" t="str">
            <v>Sway Bar Link Kit - Adjustable</v>
          </cell>
          <cell r="C351">
            <v>23</v>
          </cell>
        </row>
        <row r="352">
          <cell r="A352" t="str">
            <v>KLC218</v>
          </cell>
          <cell r="B352" t="str">
            <v>Sway Bar Link Kit - Adjustable</v>
          </cell>
          <cell r="C352">
            <v>10</v>
          </cell>
        </row>
        <row r="353">
          <cell r="A353" t="str">
            <v>KLC26</v>
          </cell>
          <cell r="B353" t="str">
            <v>Sway Bar Link Kit - Fixed Extra H/D Alloy</v>
          </cell>
          <cell r="C353">
            <v>1</v>
          </cell>
        </row>
        <row r="354">
          <cell r="A354" t="str">
            <v>LC222</v>
          </cell>
          <cell r="B354" t="str">
            <v>140-180mm HD Adj Sway Bar Link- Logo Apache Offroad - Ed coating Black &amp;5N152</v>
          </cell>
          <cell r="C354">
            <v>100</v>
          </cell>
        </row>
        <row r="355">
          <cell r="A355" t="str">
            <v>LC223</v>
          </cell>
          <cell r="B355" t="str">
            <v>M12 Vertical Sway Bar Link - Logo Apache Offroad - Ed coating Black &amp;5N152 ( without Bush)</v>
          </cell>
          <cell r="C355">
            <v>175</v>
          </cell>
        </row>
        <row r="356">
          <cell r="A356" t="str">
            <v>LC41</v>
          </cell>
          <cell r="B356" t="str">
            <v>SWAY BAR LINK AND 5N013 NYLOCK NUT</v>
          </cell>
          <cell r="C356">
            <v>350</v>
          </cell>
        </row>
        <row r="357">
          <cell r="A357" t="str">
            <v>LC7-18</v>
          </cell>
          <cell r="B357" t="str">
            <v>Lock Collar - 18mm - New Design</v>
          </cell>
          <cell r="C357">
            <v>210</v>
          </cell>
        </row>
        <row r="358">
          <cell r="A358" t="str">
            <v>LD110OS90B</v>
          </cell>
          <cell r="B358" t="str">
            <v>90DEGREE OFFSET</v>
          </cell>
          <cell r="C358">
            <v>7</v>
          </cell>
        </row>
        <row r="359">
          <cell r="A359" t="str">
            <v>LKL-DDCOL</v>
          </cell>
          <cell r="B359" t="str">
            <v>Diff Drop Kit</v>
          </cell>
          <cell r="C359">
            <v>50</v>
          </cell>
        </row>
        <row r="360">
          <cell r="A360" t="str">
            <v>M6 TEST NUT</v>
          </cell>
          <cell r="B360" t="str">
            <v>M6x1.0 Testing Nut</v>
          </cell>
          <cell r="C360">
            <v>15</v>
          </cell>
        </row>
        <row r="361">
          <cell r="A361" t="str">
            <v>M8X16</v>
          </cell>
          <cell r="B361" t="str">
            <v>M8x16 ZY GR8.8 Fl Screw Set</v>
          </cell>
          <cell r="C361">
            <v>100</v>
          </cell>
        </row>
        <row r="362">
          <cell r="A362" t="str">
            <v>P-590</v>
          </cell>
          <cell r="B362" t="str">
            <v>PIN FOR MITSU EVO 4-6</v>
          </cell>
          <cell r="C362">
            <v>200</v>
          </cell>
        </row>
        <row r="363">
          <cell r="A363" t="str">
            <v>P-71063</v>
          </cell>
          <cell r="B363" t="str">
            <v>HONDA CENTER PIVOT PIN ANSI 1020</v>
          </cell>
          <cell r="C363">
            <v>142</v>
          </cell>
        </row>
        <row r="364">
          <cell r="A364" t="str">
            <v>P-BR491P</v>
          </cell>
          <cell r="B364" t="str">
            <v>BASE PLATE - BR491P</v>
          </cell>
          <cell r="C364">
            <v>918</v>
          </cell>
        </row>
        <row r="365">
          <cell r="A365" t="str">
            <v>P-FA62</v>
          </cell>
          <cell r="B365" t="str">
            <v>PIN FA62</v>
          </cell>
          <cell r="C365">
            <v>156</v>
          </cell>
        </row>
        <row r="366">
          <cell r="A366" t="str">
            <v>P5424W</v>
          </cell>
          <cell r="B366" t="str">
            <v>Castor Lock Washer</v>
          </cell>
          <cell r="C366">
            <v>20</v>
          </cell>
        </row>
        <row r="367">
          <cell r="A367" t="str">
            <v>PL-1021</v>
          </cell>
          <cell r="B367" t="str">
            <v>Apache Bracket Plate 50x25.4x3</v>
          </cell>
          <cell r="C367">
            <v>200</v>
          </cell>
        </row>
        <row r="368">
          <cell r="A368" t="str">
            <v>PL-1022</v>
          </cell>
          <cell r="B368" t="str">
            <v>Wire Bracket</v>
          </cell>
          <cell r="C368">
            <v>200</v>
          </cell>
        </row>
        <row r="369">
          <cell r="A369" t="str">
            <v>PL-1023</v>
          </cell>
          <cell r="B369" t="str">
            <v>Bracket</v>
          </cell>
          <cell r="C369">
            <v>100</v>
          </cell>
        </row>
        <row r="370">
          <cell r="A370" t="str">
            <v>PL-142A</v>
          </cell>
          <cell r="B370" t="str">
            <v>LASER CUT AND BENT PLATE</v>
          </cell>
          <cell r="C370">
            <v>300</v>
          </cell>
        </row>
        <row r="371">
          <cell r="A371" t="str">
            <v>PL-170</v>
          </cell>
          <cell r="B371" t="str">
            <v>Plate 40x20x3</v>
          </cell>
          <cell r="C371">
            <v>500</v>
          </cell>
        </row>
        <row r="372">
          <cell r="A372" t="str">
            <v>PL-182L</v>
          </cell>
          <cell r="B372" t="str">
            <v>Brake Line Bracket LH  (Stainless Steel)</v>
          </cell>
          <cell r="C372">
            <v>204</v>
          </cell>
        </row>
        <row r="373">
          <cell r="A373" t="str">
            <v>PL-182R</v>
          </cell>
          <cell r="B373" t="str">
            <v>Brake Line Bracket RH (Stainless Steel)</v>
          </cell>
          <cell r="C373">
            <v>19</v>
          </cell>
        </row>
        <row r="374">
          <cell r="A374" t="str">
            <v>PL-190IC</v>
          </cell>
          <cell r="B374" t="str">
            <v>Steel Plate - No Plating</v>
          </cell>
          <cell r="C374">
            <v>50</v>
          </cell>
        </row>
        <row r="375">
          <cell r="A375" t="str">
            <v>PL-2002</v>
          </cell>
          <cell r="B375" t="str">
            <v>Ride Height Sensor Bracket</v>
          </cell>
          <cell r="C375">
            <v>1500</v>
          </cell>
        </row>
        <row r="376">
          <cell r="A376" t="str">
            <v>PL-2005LIC</v>
          </cell>
          <cell r="B376" t="str">
            <v>ABS + Brake Line Bracket LH - No Plating</v>
          </cell>
          <cell r="C376">
            <v>60</v>
          </cell>
        </row>
        <row r="377">
          <cell r="A377" t="str">
            <v>PL-2058IC</v>
          </cell>
          <cell r="B377" t="str">
            <v>Plate - No Plating</v>
          </cell>
          <cell r="C377">
            <v>25</v>
          </cell>
        </row>
        <row r="378">
          <cell r="A378" t="str">
            <v>PL-2083</v>
          </cell>
          <cell r="B378" t="str">
            <v>Ball Joint Plate</v>
          </cell>
          <cell r="C378">
            <v>2</v>
          </cell>
        </row>
        <row r="379">
          <cell r="A379" t="str">
            <v>PL-2103IC</v>
          </cell>
          <cell r="B379" t="str">
            <v>Strengthening Plate</v>
          </cell>
          <cell r="C379">
            <v>20</v>
          </cell>
        </row>
        <row r="380">
          <cell r="A380" t="str">
            <v>PL-2128</v>
          </cell>
          <cell r="B380" t="str">
            <v>TA317 ABS Sensor Bracket - No Plating</v>
          </cell>
          <cell r="C380">
            <v>200</v>
          </cell>
        </row>
        <row r="381">
          <cell r="A381" t="str">
            <v>PL-2146IC</v>
          </cell>
          <cell r="B381" t="str">
            <v>Headlight Sensor Bracket</v>
          </cell>
          <cell r="C381">
            <v>20</v>
          </cell>
        </row>
        <row r="382">
          <cell r="A382" t="str">
            <v>PL-2153L</v>
          </cell>
          <cell r="B382" t="str">
            <v>TRI-05 Bash Guard - 1.5mm S/Steel - New Design</v>
          </cell>
          <cell r="C382">
            <v>40</v>
          </cell>
        </row>
        <row r="383">
          <cell r="A383" t="str">
            <v>PL-2153R</v>
          </cell>
          <cell r="B383" t="str">
            <v>TRI-05 Bash Guard - 1.5mm S/Steel - New Design</v>
          </cell>
          <cell r="C383">
            <v>20</v>
          </cell>
        </row>
        <row r="384">
          <cell r="A384" t="str">
            <v>PL-2188-SP</v>
          </cell>
          <cell r="B384" t="str">
            <v>Plate 124x40x17.8 - Anod Black &amp; Engrave Logo SP</v>
          </cell>
          <cell r="C384">
            <v>50</v>
          </cell>
        </row>
        <row r="385">
          <cell r="A385" t="str">
            <v>PL-2210-2</v>
          </cell>
          <cell r="B385" t="str">
            <v>D-Bush Base Plate - Black</v>
          </cell>
          <cell r="C385">
            <v>5</v>
          </cell>
        </row>
        <row r="386">
          <cell r="A386" t="str">
            <v>PL-223</v>
          </cell>
          <cell r="B386" t="str">
            <v>Plate 190x64.5x3</v>
          </cell>
          <cell r="C386">
            <v>240</v>
          </cell>
        </row>
        <row r="387">
          <cell r="A387" t="str">
            <v>PL-230</v>
          </cell>
          <cell r="B387" t="str">
            <v>TBA</v>
          </cell>
          <cell r="C387">
            <v>200</v>
          </cell>
        </row>
        <row r="388">
          <cell r="A388" t="str">
            <v>PL-254-2</v>
          </cell>
          <cell r="B388" t="str">
            <v>Plate 125x50x16 Black Zinc</v>
          </cell>
          <cell r="C388">
            <v>373</v>
          </cell>
        </row>
        <row r="389">
          <cell r="A389" t="str">
            <v>PL-265</v>
          </cell>
          <cell r="B389" t="str">
            <v>Plate 86x44.5x3.2</v>
          </cell>
          <cell r="C389">
            <v>100</v>
          </cell>
        </row>
        <row r="390">
          <cell r="A390" t="str">
            <v>PL-266</v>
          </cell>
          <cell r="B390" t="str">
            <v>Plate 187x109x9.5 Lh</v>
          </cell>
          <cell r="C390">
            <v>5</v>
          </cell>
        </row>
        <row r="391">
          <cell r="A391" t="str">
            <v>PL-333IC</v>
          </cell>
          <cell r="B391" t="str">
            <v>Plate - No Plating</v>
          </cell>
          <cell r="C391">
            <v>20</v>
          </cell>
        </row>
        <row r="392">
          <cell r="A392" t="str">
            <v>PL-339IC</v>
          </cell>
          <cell r="B392" t="str">
            <v>Plate - No Plating</v>
          </cell>
          <cell r="C392">
            <v>50</v>
          </cell>
        </row>
        <row r="393">
          <cell r="A393" t="str">
            <v>PL-340IC</v>
          </cell>
          <cell r="B393" t="str">
            <v>Plate - No Plating</v>
          </cell>
          <cell r="C393">
            <v>50</v>
          </cell>
        </row>
        <row r="394">
          <cell r="A394" t="str">
            <v>PL-341IC</v>
          </cell>
          <cell r="B394" t="str">
            <v>Plate LH - No Plating</v>
          </cell>
          <cell r="C394">
            <v>30</v>
          </cell>
        </row>
        <row r="395">
          <cell r="A395" t="str">
            <v>PL-342IC</v>
          </cell>
          <cell r="B395" t="str">
            <v>Plate RH - No Plating</v>
          </cell>
          <cell r="C395">
            <v>30</v>
          </cell>
        </row>
        <row r="396">
          <cell r="A396" t="str">
            <v>PL-343IC</v>
          </cell>
          <cell r="B396" t="str">
            <v>Plate - No Plating</v>
          </cell>
          <cell r="C396">
            <v>30</v>
          </cell>
        </row>
        <row r="397">
          <cell r="A397" t="str">
            <v>PL-344IC</v>
          </cell>
          <cell r="B397" t="str">
            <v>Plate RH - No Plating</v>
          </cell>
          <cell r="C397">
            <v>30</v>
          </cell>
        </row>
        <row r="398">
          <cell r="A398" t="str">
            <v>PL-367IC</v>
          </cell>
          <cell r="B398" t="str">
            <v>Plate - No Plating</v>
          </cell>
          <cell r="C398">
            <v>200</v>
          </cell>
        </row>
        <row r="399">
          <cell r="A399" t="str">
            <v>PL-389IC</v>
          </cell>
          <cell r="B399" t="str">
            <v>Bracket LH</v>
          </cell>
          <cell r="C399">
            <v>10</v>
          </cell>
        </row>
        <row r="400">
          <cell r="A400" t="str">
            <v>PL-PB2823</v>
          </cell>
          <cell r="B400" t="str">
            <v>Ring For Mining Components (with Holes)</v>
          </cell>
          <cell r="C400">
            <v>120</v>
          </cell>
        </row>
        <row r="401">
          <cell r="A401" t="str">
            <v>R-70105</v>
          </cell>
          <cell r="B401" t="str">
            <v>Swage Shell 30.2-26.2X23X54 DBL</v>
          </cell>
          <cell r="C401">
            <v>20</v>
          </cell>
        </row>
        <row r="402">
          <cell r="A402" t="str">
            <v>R-70121S</v>
          </cell>
          <cell r="B402" t="str">
            <v>Shell 30.2X26.2X23X16Mm FL Swage</v>
          </cell>
          <cell r="C402">
            <v>770</v>
          </cell>
        </row>
        <row r="403">
          <cell r="A403" t="str">
            <v>RC17</v>
          </cell>
          <cell r="B403" t="str">
            <v>Sway Bar 33mm (TFS.0031) - Unpowder coated</v>
          </cell>
          <cell r="C403">
            <v>150</v>
          </cell>
        </row>
        <row r="404">
          <cell r="A404" t="str">
            <v>RTS12.7X10H</v>
          </cell>
          <cell r="B404" t="str">
            <v>Raw Tube Steel 12.7x10 Tol +/-0.05-AISI 1045</v>
          </cell>
          <cell r="C404">
            <v>174.45587</v>
          </cell>
        </row>
        <row r="405">
          <cell r="A405" t="str">
            <v>RTS20X12.3H</v>
          </cell>
          <cell r="B405" t="str">
            <v>Raw Tube Steel 20x12.3 Tol +/-0.05-AISI 1045</v>
          </cell>
          <cell r="C405">
            <v>0.41</v>
          </cell>
        </row>
        <row r="406">
          <cell r="A406" t="str">
            <v>RTS22.2x12.3H</v>
          </cell>
          <cell r="B406" t="str">
            <v>Raw Tube Steel 22.2x12.3 Tol +/-0.05-AISI 1045</v>
          </cell>
          <cell r="C406">
            <v>0.12</v>
          </cell>
        </row>
        <row r="407">
          <cell r="A407" t="str">
            <v>RTS22.2X14.3</v>
          </cell>
          <cell r="B407" t="str">
            <v>Raw Tube Steel 22.2x14.3 - Tolerance for 14.3 is +0.06/ -.0.0-AISI 1045</v>
          </cell>
          <cell r="C407">
            <v>0.04</v>
          </cell>
        </row>
        <row r="408">
          <cell r="A408" t="str">
            <v>RTS25.4X12.2</v>
          </cell>
          <cell r="B408" t="str">
            <v>Raw Tube Steel 25.4x12.2-AISI 1045</v>
          </cell>
          <cell r="C408">
            <v>0.22</v>
          </cell>
        </row>
        <row r="409">
          <cell r="A409" t="str">
            <v>RTS25.4X14.3</v>
          </cell>
          <cell r="B409" t="str">
            <v>Raw Tube Steel 25.4x14.3-AISI 1045</v>
          </cell>
          <cell r="C409">
            <v>435.12</v>
          </cell>
        </row>
        <row r="410">
          <cell r="A410" t="str">
            <v>RTS25X12.3H</v>
          </cell>
          <cell r="B410" t="str">
            <v>Raw Tube Steel 25x12.3 Tol +/-0.05-AISI 1045</v>
          </cell>
          <cell r="C410">
            <v>87.012529999999998</v>
          </cell>
        </row>
        <row r="411">
          <cell r="A411" t="str">
            <v>RTS25x14.3H</v>
          </cell>
          <cell r="B411" t="str">
            <v>Raw Tube Steel 25x14.3 Tol +/-0.05-AISI 1045</v>
          </cell>
          <cell r="C411">
            <v>89.949809999999999</v>
          </cell>
        </row>
        <row r="412">
          <cell r="A412" t="str">
            <v>RTS25x16.3H</v>
          </cell>
          <cell r="B412" t="str">
            <v>Raw Tube Steel 25x16.3 Tol +/-0.05-AISI 1045</v>
          </cell>
          <cell r="C412">
            <v>0.28000000000000003</v>
          </cell>
        </row>
        <row r="413">
          <cell r="A413" t="str">
            <v>RTS27x14.3H</v>
          </cell>
          <cell r="B413" t="str">
            <v>Raw Tube Steel 27x14.3 Tol +/-0.05-AISI 1045</v>
          </cell>
          <cell r="C413">
            <v>38.00067</v>
          </cell>
        </row>
        <row r="414">
          <cell r="A414" t="str">
            <v>RTS27x16.3</v>
          </cell>
          <cell r="B414" t="str">
            <v>Raw Tube Steel 27X16.3 Tol +/-0.05-AISI 1045</v>
          </cell>
          <cell r="C414">
            <v>0.27</v>
          </cell>
        </row>
        <row r="415">
          <cell r="A415" t="str">
            <v>RTS28.57x14.3H</v>
          </cell>
          <cell r="B415" t="str">
            <v>Raw Tube Steel 28.57x14.3 Tol +/-0.05-AISI 1045</v>
          </cell>
          <cell r="C415">
            <v>0.02</v>
          </cell>
        </row>
        <row r="416">
          <cell r="A416" t="str">
            <v>RTS28.57x16.3H</v>
          </cell>
          <cell r="B416" t="str">
            <v>Raw Tube Steel 28.57x16.3 Tol +/-0.05-AISI 1045</v>
          </cell>
          <cell r="C416">
            <v>0.04</v>
          </cell>
        </row>
        <row r="417">
          <cell r="A417" t="str">
            <v>RTS29.4X26.2</v>
          </cell>
          <cell r="B417" t="str">
            <v>Raw Tube Steel 29.4x26.2 - AISI 1020-AISI 1020</v>
          </cell>
          <cell r="C417">
            <v>0.4</v>
          </cell>
        </row>
        <row r="418">
          <cell r="A418" t="str">
            <v>RTS30x14.3H</v>
          </cell>
          <cell r="B418" t="str">
            <v>Raw Tube Steel 30x14.3 Tol +/-0.05- AISI1020</v>
          </cell>
          <cell r="C418">
            <v>2.1700000000000001E-3</v>
          </cell>
        </row>
        <row r="419">
          <cell r="A419" t="str">
            <v>RTS31.75X17.475</v>
          </cell>
          <cell r="B419" t="str">
            <v>Raw Tube Steel 31.75x17.4752-AISI 1020 (ASTM A519M 1020 CW SR)</v>
          </cell>
          <cell r="C419">
            <v>721.16</v>
          </cell>
        </row>
        <row r="420">
          <cell r="A420" t="str">
            <v>RTS32X12.2</v>
          </cell>
          <cell r="B420" t="str">
            <v>Raw Tube Steel 32x12.2-AISI 1045</v>
          </cell>
          <cell r="C420">
            <v>105.00100999999999</v>
          </cell>
        </row>
        <row r="421">
          <cell r="A421" t="str">
            <v>RTS32X16.3H</v>
          </cell>
          <cell r="B421" t="str">
            <v>Raw Tube Steel 32x16.3 Tol +/-0.05-AISI 1045</v>
          </cell>
          <cell r="C421">
            <v>0.09</v>
          </cell>
        </row>
        <row r="422">
          <cell r="A422" t="str">
            <v>RTS41.275X31.75</v>
          </cell>
          <cell r="B422" t="str">
            <v>Raw Tube Steel 41.275x31.750-AISI 1020 (ASTM A519M 1020 CW SR)</v>
          </cell>
          <cell r="C422">
            <v>0.4</v>
          </cell>
        </row>
        <row r="423">
          <cell r="A423" t="str">
            <v>S-20077Z</v>
          </cell>
          <cell r="B423" t="str">
            <v>Swage Shell 57.2X43.6-40.4X34.3 FL</v>
          </cell>
          <cell r="C423">
            <v>11</v>
          </cell>
        </row>
        <row r="424">
          <cell r="A424" t="str">
            <v>S-20322Z</v>
          </cell>
          <cell r="B424" t="str">
            <v>Shell 41.45x38.25x36.3 - FL</v>
          </cell>
          <cell r="C424">
            <v>20</v>
          </cell>
        </row>
        <row r="425">
          <cell r="A425" t="str">
            <v>S-71149A</v>
          </cell>
          <cell r="B425" t="str">
            <v>Shell 45.6-38.2X35X43.2 FL (Machine 100%)</v>
          </cell>
          <cell r="C425">
            <v>545</v>
          </cell>
        </row>
        <row r="426">
          <cell r="A426" t="str">
            <v>S-80140</v>
          </cell>
          <cell r="B426" t="str">
            <v>Shell 49X36X42 FL</v>
          </cell>
          <cell r="C426">
            <v>52</v>
          </cell>
        </row>
        <row r="427">
          <cell r="A427" t="str">
            <v>S04A</v>
          </cell>
          <cell r="B427" t="str">
            <v>Saddle</v>
          </cell>
          <cell r="C427">
            <v>350</v>
          </cell>
        </row>
        <row r="428">
          <cell r="A428" t="str">
            <v>S06A</v>
          </cell>
          <cell r="B428" t="str">
            <v>UNIVERSAL SADDLE UPSPEC</v>
          </cell>
          <cell r="C428">
            <v>1528</v>
          </cell>
        </row>
        <row r="429">
          <cell r="A429" t="str">
            <v>S30A</v>
          </cell>
          <cell r="B429" t="str">
            <v>Heavy Duty Saddle</v>
          </cell>
          <cell r="C429">
            <v>1087</v>
          </cell>
        </row>
        <row r="430">
          <cell r="A430" t="str">
            <v>S31</v>
          </cell>
          <cell r="B430" t="str">
            <v>HEAVY DUTY SADDLE M12</v>
          </cell>
          <cell r="C430">
            <v>102</v>
          </cell>
        </row>
        <row r="431">
          <cell r="A431" t="str">
            <v>S37</v>
          </cell>
          <cell r="B431" t="str">
            <v>Saddle</v>
          </cell>
          <cell r="C431">
            <v>6</v>
          </cell>
        </row>
        <row r="432">
          <cell r="A432" t="str">
            <v>S41</v>
          </cell>
          <cell r="B432" t="str">
            <v>Universal Saddle -Silver</v>
          </cell>
          <cell r="C432">
            <v>180</v>
          </cell>
        </row>
        <row r="433">
          <cell r="A433" t="str">
            <v>SB-10003</v>
          </cell>
          <cell r="B433" t="str">
            <v>Spherical Bearing CAS5669</v>
          </cell>
          <cell r="C433">
            <v>600</v>
          </cell>
        </row>
        <row r="434">
          <cell r="A434" t="str">
            <v>SB729-SA</v>
          </cell>
          <cell r="B434" t="str">
            <v xml:space="preserve">PANHARD SUPPORT BRACE </v>
          </cell>
          <cell r="C434">
            <v>4</v>
          </cell>
        </row>
        <row r="435">
          <cell r="A435" t="str">
            <v>SH5350-1.5MM</v>
          </cell>
          <cell r="B435" t="str">
            <v>Plated 1.5mm Shim (H-5342)</v>
          </cell>
          <cell r="C435">
            <v>1500</v>
          </cell>
        </row>
        <row r="436">
          <cell r="A436" t="str">
            <v>SHIM14X2</v>
          </cell>
          <cell r="B436" t="str">
            <v>Single Shim 14mm x 2mm</v>
          </cell>
          <cell r="C436">
            <v>8</v>
          </cell>
        </row>
        <row r="437">
          <cell r="A437" t="str">
            <v>SK-CA-074S</v>
          </cell>
          <cell r="B437" t="str">
            <v>Single Arm Service Kit</v>
          </cell>
          <cell r="C437">
            <v>50</v>
          </cell>
        </row>
        <row r="438">
          <cell r="A438" t="str">
            <v>SP12600T</v>
          </cell>
          <cell r="B438" t="str">
            <v>TUBE 22.22X14.28X53 SPIRAL C/H</v>
          </cell>
          <cell r="C438">
            <v>105</v>
          </cell>
        </row>
        <row r="439">
          <cell r="A439" t="str">
            <v>SPF0016S</v>
          </cell>
          <cell r="B439" t="str">
            <v>Shells</v>
          </cell>
          <cell r="C439">
            <v>46</v>
          </cell>
        </row>
        <row r="440">
          <cell r="A440" t="str">
            <v>SPF0017S</v>
          </cell>
          <cell r="B440" t="str">
            <v>Shell</v>
          </cell>
          <cell r="C440">
            <v>1</v>
          </cell>
        </row>
        <row r="441">
          <cell r="A441" t="str">
            <v>SPF0017S</v>
          </cell>
          <cell r="B441" t="str">
            <v>Shell</v>
          </cell>
          <cell r="C441">
            <v>6</v>
          </cell>
        </row>
        <row r="442">
          <cell r="A442" t="str">
            <v>SPF0236-3</v>
          </cell>
          <cell r="B442" t="str">
            <v>93 Blue Bush Type 1 - Part Off</v>
          </cell>
          <cell r="C442">
            <v>9</v>
          </cell>
        </row>
        <row r="443">
          <cell r="A443" t="str">
            <v>SPF0336W</v>
          </cell>
          <cell r="B443" t="str">
            <v>1/2x1 1/8x16 B/Steel</v>
          </cell>
          <cell r="C443">
            <v>100</v>
          </cell>
        </row>
        <row r="444">
          <cell r="A444" t="str">
            <v>SPF0440XT</v>
          </cell>
          <cell r="B444" t="str">
            <v>Tube 28.57x18x60 Offset</v>
          </cell>
          <cell r="C444">
            <v>122</v>
          </cell>
        </row>
        <row r="445">
          <cell r="A445" t="str">
            <v>SPF0494W</v>
          </cell>
          <cell r="B445" t="str">
            <v>50odx38Idx1.6 Thick</v>
          </cell>
          <cell r="C445">
            <v>200</v>
          </cell>
        </row>
        <row r="446">
          <cell r="A446" t="str">
            <v>SPF0690T</v>
          </cell>
          <cell r="B446" t="str">
            <v>Tube 20x12.3x55.5</v>
          </cell>
          <cell r="C446">
            <v>55</v>
          </cell>
        </row>
        <row r="447">
          <cell r="A447" t="str">
            <v>SPF0864W</v>
          </cell>
          <cell r="B447" t="str">
            <v>S/Pro Washer</v>
          </cell>
          <cell r="C447">
            <v>100</v>
          </cell>
        </row>
        <row r="448">
          <cell r="A448" t="str">
            <v>SPF0920AT</v>
          </cell>
          <cell r="B448" t="str">
            <v>TUBE 27X14.2X65 4.8mm OFFSET</v>
          </cell>
          <cell r="C448">
            <v>100</v>
          </cell>
        </row>
        <row r="449">
          <cell r="A449" t="str">
            <v>SPF1045T</v>
          </cell>
          <cell r="B449" t="str">
            <v>Tube 19x14.3x57.5</v>
          </cell>
          <cell r="C449">
            <v>32</v>
          </cell>
        </row>
        <row r="450">
          <cell r="A450" t="str">
            <v>SPF1170S</v>
          </cell>
          <cell r="B450" t="str">
            <v>Shell</v>
          </cell>
          <cell r="C450">
            <v>10</v>
          </cell>
        </row>
        <row r="451">
          <cell r="A451" t="str">
            <v>SPF1231T</v>
          </cell>
          <cell r="B451" t="str">
            <v>Tube 20x12.3x46</v>
          </cell>
          <cell r="C451">
            <v>51</v>
          </cell>
        </row>
        <row r="452">
          <cell r="A452" t="str">
            <v>SPF1606T</v>
          </cell>
          <cell r="B452" t="str">
            <v>Tube 19x12.3x60</v>
          </cell>
          <cell r="C452">
            <v>2</v>
          </cell>
        </row>
        <row r="453">
          <cell r="A453" t="str">
            <v>SPF1721S</v>
          </cell>
          <cell r="B453" t="str">
            <v>Shells</v>
          </cell>
          <cell r="C453">
            <v>1732</v>
          </cell>
        </row>
        <row r="454">
          <cell r="A454" t="str">
            <v>SPF1886T</v>
          </cell>
          <cell r="B454" t="str">
            <v>TUBE 22.22X12.7X53 KN END</v>
          </cell>
          <cell r="C454">
            <v>105</v>
          </cell>
        </row>
        <row r="455">
          <cell r="A455" t="str">
            <v>SPF1923T</v>
          </cell>
          <cell r="B455" t="str">
            <v>Tube 19x12.3x30</v>
          </cell>
          <cell r="C455">
            <v>49</v>
          </cell>
        </row>
        <row r="456">
          <cell r="A456" t="str">
            <v>SPF1984ASST</v>
          </cell>
          <cell r="B456" t="str">
            <v>Tube 24X12.3X70 4.0mm O/F CH K Stainless Steel</v>
          </cell>
          <cell r="C456">
            <v>10</v>
          </cell>
        </row>
        <row r="457">
          <cell r="A457" t="str">
            <v>SPF1984T</v>
          </cell>
          <cell r="B457" t="str">
            <v>Tube 24x12.3x70</v>
          </cell>
          <cell r="C457">
            <v>8</v>
          </cell>
        </row>
        <row r="458">
          <cell r="A458" t="str">
            <v>SPF1986T</v>
          </cell>
          <cell r="B458" t="str">
            <v>Tube 24x15.5x54</v>
          </cell>
          <cell r="C458">
            <v>210</v>
          </cell>
        </row>
        <row r="459">
          <cell r="A459" t="str">
            <v>SPF2036T</v>
          </cell>
          <cell r="B459" t="str">
            <v>Tube 22.22x14.3x60</v>
          </cell>
          <cell r="C459">
            <v>71</v>
          </cell>
        </row>
        <row r="460">
          <cell r="A460" t="str">
            <v>SPF2133T</v>
          </cell>
          <cell r="B460" t="str">
            <v>Tube 24x14.3x52</v>
          </cell>
          <cell r="C460">
            <v>43</v>
          </cell>
        </row>
        <row r="461">
          <cell r="A461" t="str">
            <v>SPF2138S</v>
          </cell>
          <cell r="B461" t="str">
            <v>Shells</v>
          </cell>
          <cell r="C461">
            <v>6</v>
          </cell>
        </row>
        <row r="462">
          <cell r="A462" t="str">
            <v>SPF2142T</v>
          </cell>
          <cell r="B462" t="str">
            <v>Tube 27-22.05x14.3x66 (Stepped)</v>
          </cell>
          <cell r="C462">
            <v>41</v>
          </cell>
        </row>
        <row r="463">
          <cell r="A463" t="str">
            <v>SPF2311T</v>
          </cell>
          <cell r="B463" t="str">
            <v>Tube 27x12.3x47 Offset 5.8mm K</v>
          </cell>
          <cell r="C463">
            <v>8</v>
          </cell>
        </row>
        <row r="464">
          <cell r="A464" t="str">
            <v>SPF2339P</v>
          </cell>
          <cell r="B464" t="str">
            <v>108.25x135x5 MS Plate 7 Holes</v>
          </cell>
          <cell r="C464">
            <v>2</v>
          </cell>
        </row>
        <row r="465">
          <cell r="A465" t="str">
            <v>SPF2348PE</v>
          </cell>
          <cell r="B465" t="str">
            <v>Hybrid Lower Shock Bush</v>
          </cell>
          <cell r="C465">
            <v>500</v>
          </cell>
        </row>
        <row r="466">
          <cell r="A466" t="str">
            <v>SPF2404P</v>
          </cell>
          <cell r="B466" t="str">
            <v>1x1/4 Flat Bar (Use PL-224 )</v>
          </cell>
          <cell r="C466">
            <v>3</v>
          </cell>
        </row>
        <row r="467">
          <cell r="A467" t="str">
            <v>SPF2413S</v>
          </cell>
          <cell r="B467" t="str">
            <v>Shells</v>
          </cell>
          <cell r="C467">
            <v>262</v>
          </cell>
        </row>
        <row r="468">
          <cell r="A468" t="str">
            <v>SPF2428S</v>
          </cell>
          <cell r="B468" t="str">
            <v>Shells</v>
          </cell>
          <cell r="C468">
            <v>2</v>
          </cell>
        </row>
        <row r="469">
          <cell r="A469" t="str">
            <v>SPF2562S</v>
          </cell>
          <cell r="B469" t="str">
            <v>Shells</v>
          </cell>
          <cell r="C469">
            <v>4</v>
          </cell>
        </row>
        <row r="470">
          <cell r="A470" t="str">
            <v>SPF2677S</v>
          </cell>
          <cell r="B470" t="str">
            <v>Shells</v>
          </cell>
          <cell r="C470">
            <v>1</v>
          </cell>
        </row>
        <row r="471">
          <cell r="A471" t="str">
            <v>SPF2699T</v>
          </cell>
          <cell r="B471" t="str">
            <v>Tube 20x10.3x42</v>
          </cell>
          <cell r="C471">
            <v>22</v>
          </cell>
        </row>
        <row r="472">
          <cell r="A472" t="str">
            <v>SPF2779T</v>
          </cell>
          <cell r="B472" t="str">
            <v>Tube 20x17x45</v>
          </cell>
          <cell r="C472">
            <v>20</v>
          </cell>
        </row>
        <row r="473">
          <cell r="A473" t="str">
            <v>SPF2822T</v>
          </cell>
          <cell r="B473" t="str">
            <v>Tube 30x12.20x74</v>
          </cell>
          <cell r="C473">
            <v>20</v>
          </cell>
        </row>
        <row r="474">
          <cell r="A474" t="str">
            <v>SPF2834S</v>
          </cell>
          <cell r="B474" t="str">
            <v>Shell</v>
          </cell>
          <cell r="C474">
            <v>5</v>
          </cell>
        </row>
        <row r="475">
          <cell r="A475" t="str">
            <v>SPF2845T</v>
          </cell>
          <cell r="B475" t="str">
            <v>Tube 27x14.3x62</v>
          </cell>
          <cell r="C475">
            <v>7</v>
          </cell>
        </row>
        <row r="476">
          <cell r="A476" t="str">
            <v>SPF2859P</v>
          </cell>
          <cell r="B476" t="str">
            <v>Holden Commodore Fr Castor</v>
          </cell>
          <cell r="C476">
            <v>1200</v>
          </cell>
        </row>
        <row r="477">
          <cell r="A477" t="str">
            <v>SPF2902-3</v>
          </cell>
          <cell r="B477" t="str">
            <v>83 Blue Bushing Type 1 - Bonded - Part Off</v>
          </cell>
          <cell r="C477">
            <v>17</v>
          </cell>
        </row>
        <row r="478">
          <cell r="A478" t="str">
            <v>SPF2954T</v>
          </cell>
          <cell r="B478" t="str">
            <v>Tube 22.22x12.3x57</v>
          </cell>
          <cell r="C478">
            <v>126</v>
          </cell>
        </row>
        <row r="479">
          <cell r="A479" t="str">
            <v>SPF2989W</v>
          </cell>
          <cell r="B479" t="str">
            <v>Washer 75x18.5x6</v>
          </cell>
          <cell r="C479">
            <v>25</v>
          </cell>
        </row>
        <row r="480">
          <cell r="A480" t="str">
            <v>SPF2990T</v>
          </cell>
          <cell r="B480" t="str">
            <v>Tube 24x14.3x51.5 Knurled Ends</v>
          </cell>
          <cell r="C480">
            <v>16</v>
          </cell>
        </row>
        <row r="481">
          <cell r="A481" t="str">
            <v>SPF2995T</v>
          </cell>
          <cell r="B481" t="str">
            <v>Tube 16x10.3x35</v>
          </cell>
          <cell r="C481">
            <v>117</v>
          </cell>
        </row>
        <row r="482">
          <cell r="A482" t="str">
            <v>SPF3022S</v>
          </cell>
          <cell r="B482" t="str">
            <v>Shell Only</v>
          </cell>
          <cell r="C482">
            <v>160</v>
          </cell>
        </row>
        <row r="483">
          <cell r="A483" t="str">
            <v>SPF3022XT</v>
          </cell>
          <cell r="B483" t="str">
            <v>Tube 24x14.3x54.5 Offset</v>
          </cell>
          <cell r="C483">
            <v>75</v>
          </cell>
        </row>
        <row r="484">
          <cell r="A484" t="str">
            <v>SPF3044T</v>
          </cell>
          <cell r="B484" t="str">
            <v>TUBE 22.22X12.3X65 OFFSET</v>
          </cell>
          <cell r="C484">
            <v>100</v>
          </cell>
        </row>
        <row r="485">
          <cell r="A485" t="str">
            <v>SPF3046T</v>
          </cell>
          <cell r="B485" t="str">
            <v>TUBE 22.2X12.3X54.5 OFFSET</v>
          </cell>
          <cell r="C485">
            <v>105</v>
          </cell>
        </row>
        <row r="486">
          <cell r="A486" t="str">
            <v>SPF3063T</v>
          </cell>
          <cell r="B486" t="str">
            <v>Tube 22.22x12.3x48</v>
          </cell>
          <cell r="C486">
            <v>119</v>
          </cell>
        </row>
        <row r="487">
          <cell r="A487" t="str">
            <v>SPF3072T</v>
          </cell>
          <cell r="B487" t="str">
            <v>Tube 25x10.3x53.5</v>
          </cell>
          <cell r="C487">
            <v>1</v>
          </cell>
        </row>
        <row r="488">
          <cell r="A488" t="str">
            <v>SPF3076S</v>
          </cell>
          <cell r="B488" t="str">
            <v>Shell</v>
          </cell>
          <cell r="C488">
            <v>40</v>
          </cell>
        </row>
        <row r="489">
          <cell r="A489" t="str">
            <v>SPF3126S</v>
          </cell>
          <cell r="B489" t="str">
            <v>Shell Only</v>
          </cell>
          <cell r="C489">
            <v>16</v>
          </cell>
        </row>
        <row r="490">
          <cell r="A490" t="str">
            <v>SPF3133S</v>
          </cell>
          <cell r="B490" t="str">
            <v>Shell Only</v>
          </cell>
          <cell r="C490">
            <v>1</v>
          </cell>
        </row>
        <row r="491">
          <cell r="A491" t="str">
            <v>SPF3148-W</v>
          </cell>
          <cell r="B491" t="str">
            <v>Washer cupped 3148P 14mm ID</v>
          </cell>
          <cell r="C491">
            <v>70</v>
          </cell>
        </row>
        <row r="492">
          <cell r="A492" t="str">
            <v>SPF3232-W</v>
          </cell>
          <cell r="B492" t="str">
            <v>Washer cupped 3232P 16mm ID - change to 5W039 when we use up Stock.</v>
          </cell>
          <cell r="C492">
            <v>44</v>
          </cell>
        </row>
        <row r="493">
          <cell r="A493" t="str">
            <v>SPF3278T</v>
          </cell>
          <cell r="B493" t="str">
            <v>Tube 34.92x18.4x106.5</v>
          </cell>
          <cell r="C493">
            <v>108</v>
          </cell>
        </row>
        <row r="494">
          <cell r="A494" t="str">
            <v>SPF3395T</v>
          </cell>
          <cell r="B494" t="str">
            <v>Tube 24x13.5x41</v>
          </cell>
          <cell r="C494">
            <v>50</v>
          </cell>
        </row>
        <row r="495">
          <cell r="A495" t="str">
            <v>SPF3441T</v>
          </cell>
          <cell r="B495" t="str">
            <v>Tube 25-19.5x14.2x15.7 Stepped</v>
          </cell>
          <cell r="C495">
            <v>315</v>
          </cell>
        </row>
        <row r="496">
          <cell r="A496" t="str">
            <v>SPF3452S</v>
          </cell>
          <cell r="B496" t="str">
            <v>Shell to Be Bonded</v>
          </cell>
          <cell r="C496">
            <v>160</v>
          </cell>
        </row>
        <row r="497">
          <cell r="A497" t="str">
            <v>SPF3491S</v>
          </cell>
          <cell r="B497" t="str">
            <v>Shell</v>
          </cell>
          <cell r="C497">
            <v>3</v>
          </cell>
        </row>
        <row r="498">
          <cell r="A498" t="str">
            <v>SPF3495S</v>
          </cell>
          <cell r="B498" t="str">
            <v>Shell</v>
          </cell>
          <cell r="C498">
            <v>210</v>
          </cell>
        </row>
        <row r="499">
          <cell r="A499" t="str">
            <v>SPF3657S</v>
          </cell>
          <cell r="B499" t="str">
            <v>Shell</v>
          </cell>
          <cell r="C499">
            <v>88</v>
          </cell>
        </row>
        <row r="500">
          <cell r="A500" t="str">
            <v>SPF3695T</v>
          </cell>
          <cell r="B500" t="str">
            <v>TUBE 28.57-22.1X16.3X75 STEPPED</v>
          </cell>
          <cell r="C500">
            <v>32</v>
          </cell>
        </row>
        <row r="501">
          <cell r="A501" t="str">
            <v>SPF3761T</v>
          </cell>
          <cell r="B501" t="str">
            <v>Tube 24x17x54.7</v>
          </cell>
          <cell r="C501">
            <v>22</v>
          </cell>
        </row>
        <row r="502">
          <cell r="A502" t="str">
            <v>SPF3829S</v>
          </cell>
          <cell r="B502" t="str">
            <v>Shell</v>
          </cell>
          <cell r="C502">
            <v>2</v>
          </cell>
        </row>
        <row r="503">
          <cell r="A503" t="str">
            <v>SPF3913S</v>
          </cell>
          <cell r="B503" t="str">
            <v>Shell</v>
          </cell>
          <cell r="C503">
            <v>16</v>
          </cell>
        </row>
        <row r="504">
          <cell r="A504" t="str">
            <v>SPF3955T</v>
          </cell>
          <cell r="B504" t="str">
            <v>Tube 25x13.5-12.3x48 Chamfer</v>
          </cell>
          <cell r="C504">
            <v>15</v>
          </cell>
        </row>
        <row r="505">
          <cell r="A505" t="str">
            <v>SPF3986S</v>
          </cell>
          <cell r="B505" t="str">
            <v>Shell</v>
          </cell>
          <cell r="C505">
            <v>229</v>
          </cell>
        </row>
        <row r="506">
          <cell r="A506" t="str">
            <v>SPF4113S</v>
          </cell>
          <cell r="B506" t="str">
            <v>Shell</v>
          </cell>
          <cell r="C506">
            <v>4</v>
          </cell>
        </row>
        <row r="507">
          <cell r="A507" t="str">
            <v>SPF4226S</v>
          </cell>
          <cell r="B507" t="str">
            <v>Shell</v>
          </cell>
          <cell r="C507">
            <v>1</v>
          </cell>
        </row>
        <row r="508">
          <cell r="A508" t="str">
            <v>SPF4359W</v>
          </cell>
          <cell r="B508" t="str">
            <v>M10 ZP HD Spring Washer</v>
          </cell>
          <cell r="C508">
            <v>105</v>
          </cell>
        </row>
        <row r="509">
          <cell r="A509" t="str">
            <v>SPF4461T-CD</v>
          </cell>
          <cell r="B509" t="str">
            <v>Tube 24x14.5x70 (4 Holes Cross Drilled)</v>
          </cell>
          <cell r="C509">
            <v>33</v>
          </cell>
        </row>
        <row r="510">
          <cell r="A510" t="str">
            <v>SPF4653B-ASSY</v>
          </cell>
          <cell r="B510" t="str">
            <v>Bracket Installed with Bolt</v>
          </cell>
          <cell r="C510">
            <v>100</v>
          </cell>
        </row>
        <row r="511">
          <cell r="A511" t="str">
            <v>SPF4653BOLT</v>
          </cell>
          <cell r="B511" t="str">
            <v>Bolt</v>
          </cell>
          <cell r="C511">
            <v>200</v>
          </cell>
        </row>
        <row r="512">
          <cell r="A512" t="str">
            <v>SPF4762SP</v>
          </cell>
          <cell r="B512" t="str">
            <v>C Spanner</v>
          </cell>
          <cell r="C512">
            <v>100</v>
          </cell>
        </row>
        <row r="513">
          <cell r="A513" t="str">
            <v>SPF4857P</v>
          </cell>
          <cell r="B513" t="str">
            <v>Plate</v>
          </cell>
          <cell r="C513">
            <v>5</v>
          </cell>
        </row>
        <row r="514">
          <cell r="A514" t="str">
            <v>SPF4858P</v>
          </cell>
          <cell r="B514" t="str">
            <v>Plate</v>
          </cell>
          <cell r="C514">
            <v>2</v>
          </cell>
        </row>
        <row r="515">
          <cell r="A515" t="str">
            <v>SPF4868S</v>
          </cell>
          <cell r="B515" t="str">
            <v>Shell</v>
          </cell>
          <cell r="C515">
            <v>2</v>
          </cell>
        </row>
        <row r="516">
          <cell r="A516" t="str">
            <v>SPF4943S</v>
          </cell>
          <cell r="B516" t="str">
            <v>Shell</v>
          </cell>
          <cell r="C516">
            <v>6</v>
          </cell>
        </row>
        <row r="517">
          <cell r="A517" t="str">
            <v>SPF5027T</v>
          </cell>
          <cell r="B517" t="str">
            <v>Tube Stepped Special 27-22.1x16.5x83 Stepped</v>
          </cell>
          <cell r="C517">
            <v>553</v>
          </cell>
        </row>
        <row r="518">
          <cell r="A518" t="str">
            <v>SPF5046T</v>
          </cell>
          <cell r="B518" t="str">
            <v>Tube Special Internal Taper 42x26-18x82 Stepped</v>
          </cell>
          <cell r="C518">
            <v>4</v>
          </cell>
        </row>
        <row r="519">
          <cell r="A519" t="str">
            <v>SPF5073B</v>
          </cell>
          <cell r="B519" t="str">
            <v>Bolt M14x2.0x90 Cl8.8 Hex Z</v>
          </cell>
          <cell r="C519">
            <v>7</v>
          </cell>
        </row>
        <row r="520">
          <cell r="A520" t="str">
            <v>SPF5159T</v>
          </cell>
          <cell r="B520" t="str">
            <v>Tube Special Aluminium 40x16.5x56</v>
          </cell>
          <cell r="C520">
            <v>100</v>
          </cell>
        </row>
        <row r="521">
          <cell r="A521" t="str">
            <v>SPF5193S</v>
          </cell>
          <cell r="B521" t="str">
            <v>Shell</v>
          </cell>
          <cell r="C521">
            <v>7</v>
          </cell>
        </row>
        <row r="522">
          <cell r="A522" t="str">
            <v>SPF5197P</v>
          </cell>
          <cell r="B522" t="str">
            <v>Flat Plate</v>
          </cell>
          <cell r="C522">
            <v>3</v>
          </cell>
        </row>
        <row r="523">
          <cell r="A523" t="str">
            <v>SPF5223S</v>
          </cell>
          <cell r="B523" t="str">
            <v>Shell</v>
          </cell>
          <cell r="C523">
            <v>210</v>
          </cell>
        </row>
        <row r="524">
          <cell r="A524" t="str">
            <v>SPF5243S</v>
          </cell>
          <cell r="B524" t="str">
            <v>Shell</v>
          </cell>
          <cell r="C524">
            <v>69</v>
          </cell>
        </row>
        <row r="525">
          <cell r="A525" t="str">
            <v>SPF5248T</v>
          </cell>
          <cell r="B525" t="str">
            <v>Tube 29.7x16.3x16</v>
          </cell>
          <cell r="C525">
            <v>30</v>
          </cell>
        </row>
        <row r="526">
          <cell r="A526" t="str">
            <v>SPF5395T</v>
          </cell>
          <cell r="B526" t="str">
            <v>Tube 20x14.3x54 Chamfer</v>
          </cell>
          <cell r="C526">
            <v>22</v>
          </cell>
        </row>
        <row r="527">
          <cell r="A527" t="str">
            <v>SPF5404T</v>
          </cell>
          <cell r="B527" t="str">
            <v>Tube 22.22x12.3x48 Chamfer</v>
          </cell>
          <cell r="C527">
            <v>77</v>
          </cell>
        </row>
        <row r="528">
          <cell r="A528" t="str">
            <v>SPF5468S</v>
          </cell>
          <cell r="B528" t="str">
            <v>Shell 72.2X68X80 ST</v>
          </cell>
          <cell r="C528">
            <v>12</v>
          </cell>
        </row>
        <row r="529">
          <cell r="A529" t="str">
            <v>SPF5475XT</v>
          </cell>
          <cell r="B529" t="str">
            <v>Tube 50-24X12X54 Offset Flanged and Knurled</v>
          </cell>
          <cell r="C529">
            <v>140</v>
          </cell>
        </row>
        <row r="530">
          <cell r="A530" t="str">
            <v>SPF5495W</v>
          </cell>
          <cell r="B530" t="str">
            <v>Washer 54x26x2.5</v>
          </cell>
          <cell r="C530">
            <v>200</v>
          </cell>
        </row>
        <row r="531">
          <cell r="A531" t="str">
            <v>SPF5551S</v>
          </cell>
          <cell r="B531" t="str">
            <v>Shell 41.2x37.2x32 - ST</v>
          </cell>
          <cell r="C531">
            <v>20</v>
          </cell>
        </row>
        <row r="532">
          <cell r="A532" t="str">
            <v>SPF5924PE</v>
          </cell>
          <cell r="B532" t="str">
            <v>Ranger Shock Bush</v>
          </cell>
          <cell r="C532">
            <v>200</v>
          </cell>
        </row>
        <row r="533">
          <cell r="A533" t="str">
            <v>SPFTOE1</v>
          </cell>
          <cell r="B533" t="str">
            <v>F86 Toe Arm</v>
          </cell>
          <cell r="C533">
            <v>2</v>
          </cell>
        </row>
        <row r="534">
          <cell r="A534" t="str">
            <v>SPFTOE1-FIGS</v>
          </cell>
          <cell r="B534" t="str">
            <v>Adj Subaru Toe Arm - Lazer Logo FIGS &amp; Black Anodize</v>
          </cell>
          <cell r="C534">
            <v>8</v>
          </cell>
        </row>
        <row r="535">
          <cell r="A535" t="str">
            <v>SSFEA-13-1.6S</v>
          </cell>
          <cell r="B535" t="str">
            <v>Shims</v>
          </cell>
          <cell r="C535">
            <v>200</v>
          </cell>
        </row>
        <row r="536">
          <cell r="A536" t="str">
            <v>T-6210</v>
          </cell>
          <cell r="B536" t="str">
            <v>Tube 20xM12-1.25x63.0 Offset Knurled</v>
          </cell>
          <cell r="C536">
            <v>10</v>
          </cell>
        </row>
        <row r="537">
          <cell r="A537" t="str">
            <v>T-6277A-SA</v>
          </cell>
          <cell r="B537" t="str">
            <v>Assembly Component</v>
          </cell>
          <cell r="C537">
            <v>2</v>
          </cell>
        </row>
        <row r="538">
          <cell r="A538" t="str">
            <v>TA108L-SA-9</v>
          </cell>
          <cell r="B538" t="str">
            <v>Trailing Arm Assy LH - Silver</v>
          </cell>
          <cell r="C538">
            <v>7</v>
          </cell>
        </row>
        <row r="539">
          <cell r="A539" t="str">
            <v>TA109-PR-9</v>
          </cell>
          <cell r="B539" t="str">
            <v>TA109R-SA/TA109L-SA PAIR - Silver</v>
          </cell>
          <cell r="C539">
            <v>134</v>
          </cell>
        </row>
        <row r="540">
          <cell r="A540" t="str">
            <v>TA124RR-SA-9</v>
          </cell>
          <cell r="B540" t="str">
            <v>TRAILING ARM ASSY (LONG) - Silver</v>
          </cell>
          <cell r="C540">
            <v>195</v>
          </cell>
        </row>
        <row r="541">
          <cell r="A541" t="str">
            <v>TA135-SA</v>
          </cell>
          <cell r="B541" t="str">
            <v>EVO X R LOW CTRL ARM ADJUSTABLE.</v>
          </cell>
          <cell r="C541">
            <v>8</v>
          </cell>
        </row>
        <row r="542">
          <cell r="A542" t="str">
            <v>TA347-R-9SP</v>
          </cell>
          <cell r="B542" t="str">
            <v>LC300 Front Upper Control Arm Fixed Offset RH - Silver - SP version</v>
          </cell>
          <cell r="C542">
            <v>7</v>
          </cell>
        </row>
        <row r="543">
          <cell r="A543" t="str">
            <v>TA449L</v>
          </cell>
          <cell r="B543" t="str">
            <v>Aftermarket Forged Aluminum Subaru Arm LH</v>
          </cell>
          <cell r="C543">
            <v>10</v>
          </cell>
        </row>
        <row r="544">
          <cell r="A544" t="str">
            <v>TA449R</v>
          </cell>
          <cell r="B544" t="str">
            <v>Aftermarket Forged Aluminum Subaru Arm RH</v>
          </cell>
          <cell r="C544">
            <v>10</v>
          </cell>
        </row>
        <row r="545">
          <cell r="A545" t="str">
            <v>TB180</v>
          </cell>
          <cell r="B545" t="str">
            <v>TURN BUCKLE 3/4-16UNF 180mm INCLU NUTS + 5N901 &amp; 5N016</v>
          </cell>
          <cell r="C545">
            <v>10</v>
          </cell>
        </row>
        <row r="546">
          <cell r="A546" t="str">
            <v>TB220</v>
          </cell>
          <cell r="B546" t="str">
            <v>Turnbuckle 1x 14 TBI UNS</v>
          </cell>
          <cell r="C546">
            <v>2</v>
          </cell>
        </row>
        <row r="547">
          <cell r="A547" t="str">
            <v>TRC0008M12RH</v>
          </cell>
          <cell r="B547" t="str">
            <v>M12 Ball Link Rh Thread</v>
          </cell>
          <cell r="C547">
            <v>100</v>
          </cell>
        </row>
        <row r="548">
          <cell r="A548" t="str">
            <v>TRC0019PIN2-ASSY</v>
          </cell>
          <cell r="B548" t="str">
            <v>Hilux Long Camber Pin Assy</v>
          </cell>
          <cell r="C548">
            <v>650</v>
          </cell>
        </row>
        <row r="549">
          <cell r="A549" t="str">
            <v>TRC0022PIN-ASSY</v>
          </cell>
          <cell r="B549" t="str">
            <v>Colorado DMax 1 x Camber Bolt</v>
          </cell>
          <cell r="C549">
            <v>500</v>
          </cell>
        </row>
        <row r="550">
          <cell r="A550" t="str">
            <v>TRC0028M12LH</v>
          </cell>
          <cell r="B550" t="str">
            <v>M12 Ball Link Lh Thread</v>
          </cell>
          <cell r="C550">
            <v>5</v>
          </cell>
        </row>
        <row r="551">
          <cell r="A551" t="str">
            <v>TRC0030PIN-ASSY</v>
          </cell>
          <cell r="B551" t="str">
            <v>PXI II III Ranger Camber Bolt</v>
          </cell>
          <cell r="C551">
            <v>3</v>
          </cell>
        </row>
        <row r="552">
          <cell r="A552" t="str">
            <v>TRC0031PIN1-ASSY</v>
          </cell>
          <cell r="B552" t="str">
            <v>Hilux 8th G Short Cam Pin Assy</v>
          </cell>
          <cell r="C552">
            <v>260</v>
          </cell>
        </row>
        <row r="553">
          <cell r="A553" t="str">
            <v>TRC0031PIN2-ASSY</v>
          </cell>
          <cell r="B553" t="str">
            <v>Hilux 8th G Short Cam Pin Assy</v>
          </cell>
          <cell r="C553">
            <v>250</v>
          </cell>
        </row>
        <row r="554">
          <cell r="A554" t="str">
            <v>TRC0038PIN-ASSY</v>
          </cell>
          <cell r="B554" t="str">
            <v>Captiva Rr Toe Arm Bolt</v>
          </cell>
          <cell r="C554">
            <v>8</v>
          </cell>
        </row>
        <row r="555">
          <cell r="A555" t="str">
            <v>TRC0040PIN1-ASSY</v>
          </cell>
          <cell r="B555" t="str">
            <v>Prado 150 Short Camber Pin Ass</v>
          </cell>
          <cell r="C555">
            <v>250</v>
          </cell>
        </row>
        <row r="556">
          <cell r="A556" t="str">
            <v>TRC0040PIN2-ASSY</v>
          </cell>
          <cell r="B556" t="str">
            <v>Prado 150 Long Camber Pin Ass</v>
          </cell>
          <cell r="C556">
            <v>250</v>
          </cell>
        </row>
        <row r="557">
          <cell r="A557" t="str">
            <v>TRC10200</v>
          </cell>
          <cell r="B557" t="str">
            <v>HD Adjustable End Link Set (10mm Studs  254mm to 305mm)</v>
          </cell>
          <cell r="C557">
            <v>25</v>
          </cell>
        </row>
        <row r="558">
          <cell r="A558" t="str">
            <v>TRC1026ARM</v>
          </cell>
          <cell r="B558" t="str">
            <v>Patrol GQ-GU RR Adj Upper Arm</v>
          </cell>
          <cell r="C558">
            <v>50</v>
          </cell>
        </row>
        <row r="559">
          <cell r="A559" t="str">
            <v>TRC1027ARM</v>
          </cell>
          <cell r="B559" t="str">
            <v>Patrol GQ-GU RR Lower Arm</v>
          </cell>
          <cell r="C559">
            <v>50</v>
          </cell>
        </row>
        <row r="560">
          <cell r="A560" t="str">
            <v>TRC1045</v>
          </cell>
          <cell r="B560" t="str">
            <v>10mm Adj Sway Bar Link 45mm</v>
          </cell>
          <cell r="C560">
            <v>14</v>
          </cell>
        </row>
        <row r="561">
          <cell r="A561" t="str">
            <v>TRC1045A</v>
          </cell>
          <cell r="B561" t="str">
            <v>10mm Adj Sway Bar Link 45mm</v>
          </cell>
          <cell r="C561">
            <v>5</v>
          </cell>
        </row>
        <row r="562">
          <cell r="A562" t="str">
            <v>TRC1045L</v>
          </cell>
          <cell r="B562" t="str">
            <v>10mm Adj Sway Bar Link 45mm</v>
          </cell>
          <cell r="C562">
            <v>10</v>
          </cell>
        </row>
        <row r="563">
          <cell r="A563" t="str">
            <v>TRC12265</v>
          </cell>
          <cell r="B563" t="str">
            <v>12mm Adj Sway Bar Link 265mm</v>
          </cell>
          <cell r="C563">
            <v>6</v>
          </cell>
        </row>
        <row r="564">
          <cell r="A564" t="str">
            <v>TRC4015LNK</v>
          </cell>
          <cell r="B564" t="str">
            <v>Component Sway Bar Link - Without Black Bush</v>
          </cell>
          <cell r="C564">
            <v>25</v>
          </cell>
        </row>
        <row r="565">
          <cell r="A565" t="str">
            <v>TRC4040LNK</v>
          </cell>
          <cell r="B565" t="str">
            <v>Component Sway Bar Link</v>
          </cell>
          <cell r="C565">
            <v>25</v>
          </cell>
        </row>
        <row r="566">
          <cell r="A566" t="str">
            <v>TRC4142B</v>
          </cell>
          <cell r="B566" t="str">
            <v>Bolt M10x70 8.8 Zinc</v>
          </cell>
          <cell r="C566">
            <v>128</v>
          </cell>
        </row>
        <row r="567">
          <cell r="A567" t="str">
            <v>TRC4142W1</v>
          </cell>
          <cell r="B567" t="str">
            <v>Washer 1¢x3/8x16g Zinc</v>
          </cell>
          <cell r="C567">
            <v>84</v>
          </cell>
        </row>
        <row r="568">
          <cell r="A568" t="str">
            <v>TRC4301</v>
          </cell>
          <cell r="B568" t="str">
            <v>VAG FR SWAY BAR LINK KIT</v>
          </cell>
          <cell r="C568">
            <v>10</v>
          </cell>
        </row>
        <row r="569">
          <cell r="A569" t="str">
            <v>TRC4307LNK</v>
          </cell>
          <cell r="B569" t="str">
            <v>Pin and Ball End Adj sway bar link</v>
          </cell>
          <cell r="C569">
            <v>200</v>
          </cell>
        </row>
        <row r="570">
          <cell r="A570" t="str">
            <v>TRC5000RING</v>
          </cell>
          <cell r="B570" t="str">
            <v>VAG MQB Top Mount Retainer Ring &amp; Bolts</v>
          </cell>
          <cell r="C570">
            <v>50</v>
          </cell>
        </row>
        <row r="571">
          <cell r="A571" t="str">
            <v>TRC6680L</v>
          </cell>
          <cell r="B571" t="str">
            <v>Left Hand Steering Knuckle</v>
          </cell>
          <cell r="C571">
            <v>156</v>
          </cell>
        </row>
        <row r="572">
          <cell r="A572" t="str">
            <v>TRC6680R</v>
          </cell>
          <cell r="B572" t="str">
            <v>Right Hand Steering Knuckle</v>
          </cell>
          <cell r="C572">
            <v>175</v>
          </cell>
        </row>
        <row r="573">
          <cell r="A573" t="str">
            <v>VE14R/H</v>
          </cell>
          <cell r="B573" t="str">
            <v>Right Hand Radius Arm</v>
          </cell>
          <cell r="C573">
            <v>176</v>
          </cell>
        </row>
        <row r="574">
          <cell r="A574" t="str">
            <v>VE15L/H</v>
          </cell>
          <cell r="B574" t="str">
            <v>Left Hand Radius Arm</v>
          </cell>
          <cell r="C574">
            <v>171</v>
          </cell>
        </row>
        <row r="575">
          <cell r="A575" t="str">
            <v>VW11044B</v>
          </cell>
          <cell r="B575" t="str">
            <v>Audi/VW Bracket LHS</v>
          </cell>
          <cell r="C575">
            <v>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8"/>
  <sheetViews>
    <sheetView tabSelected="1" workbookViewId="0">
      <selection activeCell="F15" sqref="F15"/>
    </sheetView>
  </sheetViews>
  <sheetFormatPr defaultRowHeight="10.199999999999999" x14ac:dyDescent="0.2"/>
  <cols>
    <col min="1" max="1" width="13.5703125" customWidth="1"/>
    <col min="2" max="2" width="16.7109375" customWidth="1"/>
    <col min="3" max="3" width="16.5703125" customWidth="1"/>
    <col min="4" max="4" width="27.140625" customWidth="1"/>
    <col min="5" max="5" width="16.42578125" customWidth="1"/>
    <col min="6" max="6" width="15.5703125" customWidth="1"/>
    <col min="7" max="7" width="14.7109375" customWidth="1"/>
    <col min="8" max="8" width="16" customWidth="1"/>
    <col min="9" max="9" width="15" customWidth="1"/>
    <col min="10" max="10" width="32.140625" customWidth="1"/>
    <col min="12" max="12" width="12.28515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751</v>
      </c>
      <c r="L1" s="1" t="s">
        <v>752</v>
      </c>
    </row>
    <row r="2" spans="1:12" x14ac:dyDescent="0.2">
      <c r="A2" s="2" t="s">
        <v>13</v>
      </c>
      <c r="B2" s="3">
        <v>46241.642361111109</v>
      </c>
      <c r="C2" s="2" t="s">
        <v>12</v>
      </c>
      <c r="D2" s="2" t="s">
        <v>15</v>
      </c>
      <c r="E2" s="2">
        <v>1</v>
      </c>
      <c r="F2" s="2">
        <v>150</v>
      </c>
      <c r="G2" s="2">
        <v>0</v>
      </c>
      <c r="H2" s="2">
        <v>150</v>
      </c>
      <c r="I2" s="2">
        <v>12</v>
      </c>
      <c r="J2" s="2" t="s">
        <v>14</v>
      </c>
      <c r="K2" s="2">
        <f>VLOOKUP(A:A,[1]XuanStockQAResults!$A:$C,3,0)</f>
        <v>150</v>
      </c>
      <c r="L2" s="4">
        <f ca="1">NOW()-B2</f>
        <v>7.3069899305555737</v>
      </c>
    </row>
    <row r="3" spans="1:12" x14ac:dyDescent="0.2">
      <c r="A3" s="2" t="s">
        <v>16</v>
      </c>
      <c r="B3" s="3">
        <v>46216.363194444442</v>
      </c>
      <c r="C3" s="2" t="s">
        <v>12</v>
      </c>
      <c r="D3" s="2" t="s">
        <v>18</v>
      </c>
      <c r="E3" s="2">
        <v>1</v>
      </c>
      <c r="F3" s="2">
        <v>100</v>
      </c>
      <c r="G3" s="2">
        <v>0</v>
      </c>
      <c r="H3" s="2">
        <v>100</v>
      </c>
      <c r="I3" s="2">
        <v>10</v>
      </c>
      <c r="J3" s="2" t="s">
        <v>14</v>
      </c>
      <c r="K3" s="2">
        <f>VLOOKUP(A:A,[1]XuanStockQAResults!$A:$C,3,0)</f>
        <v>200</v>
      </c>
      <c r="L3" s="4">
        <f t="shared" ref="L3:L66" ca="1" si="0">NOW()-B3</f>
        <v>32.586156597222725</v>
      </c>
    </row>
    <row r="4" spans="1:12" x14ac:dyDescent="0.2">
      <c r="A4" s="2" t="s">
        <v>16</v>
      </c>
      <c r="B4" s="3">
        <v>46238.568749999999</v>
      </c>
      <c r="C4" s="2" t="s">
        <v>12</v>
      </c>
      <c r="D4" s="2" t="s">
        <v>19</v>
      </c>
      <c r="E4" s="2">
        <v>1</v>
      </c>
      <c r="F4" s="2">
        <v>50</v>
      </c>
      <c r="G4" s="2">
        <v>0</v>
      </c>
      <c r="H4" s="2">
        <v>50</v>
      </c>
      <c r="I4" s="2">
        <v>5</v>
      </c>
      <c r="J4" s="2" t="s">
        <v>14</v>
      </c>
      <c r="K4" s="2">
        <f>VLOOKUP(A:A,[1]XuanStockQAResults!$A:$C,3,0)</f>
        <v>200</v>
      </c>
      <c r="L4" s="4">
        <f t="shared" ca="1" si="0"/>
        <v>10.380601041666523</v>
      </c>
    </row>
    <row r="5" spans="1:12" x14ac:dyDescent="0.2">
      <c r="A5" s="2" t="s">
        <v>16</v>
      </c>
      <c r="B5" s="3">
        <v>46238.568749999999</v>
      </c>
      <c r="C5" s="2" t="s">
        <v>12</v>
      </c>
      <c r="D5" s="2" t="s">
        <v>20</v>
      </c>
      <c r="E5" s="2">
        <v>1</v>
      </c>
      <c r="F5" s="2">
        <v>50</v>
      </c>
      <c r="G5" s="2">
        <v>0</v>
      </c>
      <c r="H5" s="2">
        <v>50</v>
      </c>
      <c r="I5" s="2">
        <v>5</v>
      </c>
      <c r="J5" s="2" t="s">
        <v>14</v>
      </c>
      <c r="K5" s="2">
        <f>VLOOKUP(A:A,[1]XuanStockQAResults!$A:$C,3,0)</f>
        <v>200</v>
      </c>
      <c r="L5" s="4">
        <f t="shared" ca="1" si="0"/>
        <v>10.380601041666523</v>
      </c>
    </row>
    <row r="6" spans="1:12" x14ac:dyDescent="0.2">
      <c r="A6" s="2" t="s">
        <v>21</v>
      </c>
      <c r="B6" s="3">
        <v>46233.615972222222</v>
      </c>
      <c r="C6" s="2" t="s">
        <v>12</v>
      </c>
      <c r="D6" s="2" t="s">
        <v>22</v>
      </c>
      <c r="E6" s="2">
        <v>1</v>
      </c>
      <c r="F6" s="2">
        <v>50</v>
      </c>
      <c r="G6" s="2">
        <v>0</v>
      </c>
      <c r="H6" s="2">
        <v>50</v>
      </c>
      <c r="I6" s="2">
        <v>5</v>
      </c>
      <c r="J6" s="2" t="s">
        <v>14</v>
      </c>
      <c r="K6" s="2">
        <f>VLOOKUP(A:A,[1]XuanStockQAResults!$A:$C,3,0)</f>
        <v>50</v>
      </c>
      <c r="L6" s="4">
        <f t="shared" ca="1" si="0"/>
        <v>15.333378819443169</v>
      </c>
    </row>
    <row r="7" spans="1:12" x14ac:dyDescent="0.2">
      <c r="A7" s="2" t="s">
        <v>23</v>
      </c>
      <c r="B7" s="3">
        <v>46233.615972222222</v>
      </c>
      <c r="C7" s="2" t="s">
        <v>12</v>
      </c>
      <c r="D7" s="2" t="s">
        <v>24</v>
      </c>
      <c r="E7" s="2">
        <v>1</v>
      </c>
      <c r="F7" s="2">
        <v>50</v>
      </c>
      <c r="G7" s="2">
        <v>0</v>
      </c>
      <c r="H7" s="2">
        <v>50</v>
      </c>
      <c r="I7" s="2">
        <v>5</v>
      </c>
      <c r="J7" s="2" t="s">
        <v>14</v>
      </c>
      <c r="K7" s="2">
        <f>VLOOKUP(A:A,[1]XuanStockQAResults!$A:$C,3,0)</f>
        <v>50</v>
      </c>
      <c r="L7" s="4">
        <f t="shared" ca="1" si="0"/>
        <v>15.333378819443169</v>
      </c>
    </row>
    <row r="8" spans="1:12" x14ac:dyDescent="0.2">
      <c r="A8" s="2" t="s">
        <v>25</v>
      </c>
      <c r="B8" s="3">
        <v>46244.536805555559</v>
      </c>
      <c r="C8" s="2" t="s">
        <v>12</v>
      </c>
      <c r="D8" s="2" t="s">
        <v>26</v>
      </c>
      <c r="E8" s="2">
        <v>1</v>
      </c>
      <c r="F8" s="2">
        <v>289</v>
      </c>
      <c r="G8" s="2">
        <v>0</v>
      </c>
      <c r="H8" s="2">
        <v>289</v>
      </c>
      <c r="I8" s="2">
        <v>18</v>
      </c>
      <c r="J8" s="2" t="s">
        <v>14</v>
      </c>
      <c r="K8" s="2">
        <f>VLOOKUP(A:A,[1]XuanStockQAResults!$A:$C,3,0)</f>
        <v>289</v>
      </c>
      <c r="L8" s="4">
        <f t="shared" ca="1" si="0"/>
        <v>4.4125454861059552</v>
      </c>
    </row>
    <row r="9" spans="1:12" x14ac:dyDescent="0.2">
      <c r="A9" s="2" t="s">
        <v>27</v>
      </c>
      <c r="B9" s="3">
        <v>46244.536805555559</v>
      </c>
      <c r="C9" s="2" t="s">
        <v>12</v>
      </c>
      <c r="D9" s="2" t="s">
        <v>28</v>
      </c>
      <c r="E9" s="2">
        <v>1</v>
      </c>
      <c r="F9" s="2">
        <v>295</v>
      </c>
      <c r="G9" s="2">
        <v>0</v>
      </c>
      <c r="H9" s="2">
        <v>295</v>
      </c>
      <c r="I9" s="2">
        <v>18</v>
      </c>
      <c r="J9" s="2" t="s">
        <v>14</v>
      </c>
      <c r="K9" s="2">
        <f>VLOOKUP(A:A,[1]XuanStockQAResults!$A:$C,3,0)</f>
        <v>295</v>
      </c>
      <c r="L9" s="4">
        <f t="shared" ca="1" si="0"/>
        <v>4.4125454861059552</v>
      </c>
    </row>
    <row r="10" spans="1:12" x14ac:dyDescent="0.2">
      <c r="A10" s="2" t="s">
        <v>29</v>
      </c>
      <c r="B10" s="3">
        <v>46244.536805555559</v>
      </c>
      <c r="C10" s="2" t="s">
        <v>12</v>
      </c>
      <c r="D10" s="2" t="s">
        <v>28</v>
      </c>
      <c r="E10" s="2">
        <v>2</v>
      </c>
      <c r="F10" s="2">
        <v>100</v>
      </c>
      <c r="G10" s="2">
        <v>0</v>
      </c>
      <c r="H10" s="2">
        <v>100</v>
      </c>
      <c r="I10" s="2">
        <v>10</v>
      </c>
      <c r="J10" s="2" t="s">
        <v>14</v>
      </c>
      <c r="K10" s="2">
        <f>VLOOKUP(A:A,[1]XuanStockQAResults!$A:$C,3,0)</f>
        <v>100</v>
      </c>
      <c r="L10" s="4">
        <f t="shared" ca="1" si="0"/>
        <v>4.4125454861059552</v>
      </c>
    </row>
    <row r="11" spans="1:12" x14ac:dyDescent="0.2">
      <c r="A11" s="2" t="s">
        <v>30</v>
      </c>
      <c r="B11" s="3">
        <v>46248.533333333333</v>
      </c>
      <c r="C11" s="2" t="s">
        <v>12</v>
      </c>
      <c r="D11" s="2" t="s">
        <v>31</v>
      </c>
      <c r="E11" s="2">
        <v>1</v>
      </c>
      <c r="F11" s="2">
        <v>100</v>
      </c>
      <c r="G11" s="2">
        <v>0</v>
      </c>
      <c r="H11" s="2">
        <v>100</v>
      </c>
      <c r="I11" s="2">
        <v>10</v>
      </c>
      <c r="J11" s="2" t="s">
        <v>14</v>
      </c>
      <c r="K11" s="2">
        <f>VLOOKUP(A:A,[1]XuanStockQAResults!$A:$C,3,0)</f>
        <v>100</v>
      </c>
      <c r="L11" s="4">
        <f t="shared" ca="1" si="0"/>
        <v>0.41601770833221963</v>
      </c>
    </row>
    <row r="12" spans="1:12" x14ac:dyDescent="0.2">
      <c r="A12" s="2" t="s">
        <v>32</v>
      </c>
      <c r="B12" s="3">
        <v>46205.411805555559</v>
      </c>
      <c r="C12" s="2" t="s">
        <v>12</v>
      </c>
      <c r="D12" s="2" t="s">
        <v>33</v>
      </c>
      <c r="E12" s="2">
        <v>1</v>
      </c>
      <c r="F12" s="2">
        <v>100</v>
      </c>
      <c r="G12" s="2">
        <v>0</v>
      </c>
      <c r="H12" s="2">
        <v>100</v>
      </c>
      <c r="I12" s="2">
        <v>10</v>
      </c>
      <c r="J12" s="2" t="s">
        <v>14</v>
      </c>
      <c r="K12" s="2">
        <f>VLOOKUP(A:A,[1]XuanStockQAResults!$A:$C,3,0)</f>
        <v>100</v>
      </c>
      <c r="L12" s="4">
        <f t="shared" ca="1" si="0"/>
        <v>43.537545486105955</v>
      </c>
    </row>
    <row r="13" spans="1:12" x14ac:dyDescent="0.2">
      <c r="A13" s="2" t="s">
        <v>34</v>
      </c>
      <c r="B13" s="3">
        <v>46244.536805555559</v>
      </c>
      <c r="C13" s="2" t="s">
        <v>12</v>
      </c>
      <c r="D13" s="2" t="s">
        <v>35</v>
      </c>
      <c r="E13" s="2">
        <v>1</v>
      </c>
      <c r="F13" s="2">
        <v>100</v>
      </c>
      <c r="G13" s="2">
        <v>0</v>
      </c>
      <c r="H13" s="2">
        <v>100</v>
      </c>
      <c r="I13" s="2">
        <v>10</v>
      </c>
      <c r="J13" s="2" t="s">
        <v>14</v>
      </c>
      <c r="K13" s="2">
        <f>VLOOKUP(A:A,[1]XuanStockQAResults!$A:$C,3,0)</f>
        <v>100</v>
      </c>
      <c r="L13" s="4">
        <f t="shared" ca="1" si="0"/>
        <v>4.4125454861059552</v>
      </c>
    </row>
    <row r="14" spans="1:12" x14ac:dyDescent="0.2">
      <c r="A14" s="2" t="s">
        <v>36</v>
      </c>
      <c r="B14" s="3">
        <v>46244.536805555559</v>
      </c>
      <c r="C14" s="2" t="s">
        <v>12</v>
      </c>
      <c r="D14" s="2" t="s">
        <v>26</v>
      </c>
      <c r="E14" s="2">
        <v>2</v>
      </c>
      <c r="F14" s="2">
        <v>300</v>
      </c>
      <c r="G14" s="2">
        <v>0</v>
      </c>
      <c r="H14" s="2">
        <v>300</v>
      </c>
      <c r="I14" s="2">
        <v>18</v>
      </c>
      <c r="J14" s="2" t="s">
        <v>14</v>
      </c>
      <c r="K14" s="2">
        <f>VLOOKUP(A:A,[1]XuanStockQAResults!$A:$C,3,0)</f>
        <v>300</v>
      </c>
      <c r="L14" s="4">
        <f t="shared" ca="1" si="0"/>
        <v>4.4125454861059552</v>
      </c>
    </row>
    <row r="15" spans="1:12" x14ac:dyDescent="0.2">
      <c r="A15" s="2" t="s">
        <v>37</v>
      </c>
      <c r="B15" s="3">
        <v>46244.536805555559</v>
      </c>
      <c r="C15" s="2" t="s">
        <v>12</v>
      </c>
      <c r="D15" s="2" t="s">
        <v>26</v>
      </c>
      <c r="E15" s="2">
        <v>3</v>
      </c>
      <c r="F15" s="2">
        <v>300</v>
      </c>
      <c r="G15" s="2">
        <v>0</v>
      </c>
      <c r="H15" s="2">
        <v>300</v>
      </c>
      <c r="I15" s="2">
        <v>18</v>
      </c>
      <c r="J15" s="2" t="s">
        <v>14</v>
      </c>
      <c r="K15" s="2">
        <f>VLOOKUP(A:A,[1]XuanStockQAResults!$A:$C,3,0)</f>
        <v>300</v>
      </c>
      <c r="L15" s="4">
        <f t="shared" ca="1" si="0"/>
        <v>4.4125454861059552</v>
      </c>
    </row>
    <row r="16" spans="1:12" x14ac:dyDescent="0.2">
      <c r="A16" s="2" t="s">
        <v>38</v>
      </c>
      <c r="B16" s="3">
        <v>46212.663888888892</v>
      </c>
      <c r="C16" s="2" t="s">
        <v>12</v>
      </c>
      <c r="D16" s="2" t="s">
        <v>39</v>
      </c>
      <c r="E16" s="2">
        <v>1</v>
      </c>
      <c r="F16" s="2">
        <v>390</v>
      </c>
      <c r="G16" s="2">
        <v>0</v>
      </c>
      <c r="H16" s="2">
        <v>390</v>
      </c>
      <c r="I16" s="2">
        <v>24</v>
      </c>
      <c r="J16" s="2" t="s">
        <v>14</v>
      </c>
      <c r="K16" s="2">
        <f>VLOOKUP(A:A,[1]XuanStockQAResults!$A:$C,3,0)</f>
        <v>390</v>
      </c>
      <c r="L16" s="4">
        <f t="shared" ca="1" si="0"/>
        <v>36.285462152773107</v>
      </c>
    </row>
    <row r="17" spans="1:12" x14ac:dyDescent="0.2">
      <c r="A17" s="2" t="s">
        <v>40</v>
      </c>
      <c r="B17" s="3">
        <v>46241.642361111109</v>
      </c>
      <c r="C17" s="2" t="s">
        <v>12</v>
      </c>
      <c r="D17" s="2" t="s">
        <v>41</v>
      </c>
      <c r="E17" s="2">
        <v>1</v>
      </c>
      <c r="F17" s="2">
        <v>500</v>
      </c>
      <c r="G17" s="2">
        <v>0</v>
      </c>
      <c r="H17" s="2">
        <v>500</v>
      </c>
      <c r="I17" s="2">
        <v>30</v>
      </c>
      <c r="J17" s="2" t="s">
        <v>14</v>
      </c>
      <c r="K17" s="2">
        <f>VLOOKUP(A:A,[1]XuanStockQAResults!$A:$C,3,0)</f>
        <v>500</v>
      </c>
      <c r="L17" s="4">
        <f t="shared" ca="1" si="0"/>
        <v>7.3069899305555737</v>
      </c>
    </row>
    <row r="18" spans="1:12" x14ac:dyDescent="0.2">
      <c r="A18" s="2" t="s">
        <v>42</v>
      </c>
      <c r="B18" s="3">
        <v>46214.586805555555</v>
      </c>
      <c r="C18" s="2" t="s">
        <v>12</v>
      </c>
      <c r="D18" s="2" t="s">
        <v>43</v>
      </c>
      <c r="E18" s="2">
        <v>1</v>
      </c>
      <c r="F18" s="2">
        <v>52</v>
      </c>
      <c r="G18" s="2">
        <v>0</v>
      </c>
      <c r="H18" s="2">
        <v>52</v>
      </c>
      <c r="I18" s="2">
        <v>6</v>
      </c>
      <c r="J18" s="2" t="s">
        <v>14</v>
      </c>
      <c r="K18" s="2">
        <f>VLOOKUP(A:A,[1]XuanStockQAResults!$A:$C,3,0)</f>
        <v>52</v>
      </c>
      <c r="L18" s="4">
        <f t="shared" ca="1" si="0"/>
        <v>34.362545486110321</v>
      </c>
    </row>
    <row r="19" spans="1:12" x14ac:dyDescent="0.2">
      <c r="A19" s="2" t="s">
        <v>44</v>
      </c>
      <c r="B19" s="3">
        <v>46231.556250000001</v>
      </c>
      <c r="C19" s="2" t="s">
        <v>12</v>
      </c>
      <c r="D19" s="2" t="s">
        <v>45</v>
      </c>
      <c r="E19" s="2">
        <v>1</v>
      </c>
      <c r="F19" s="2">
        <v>210</v>
      </c>
      <c r="G19" s="2">
        <v>0</v>
      </c>
      <c r="H19" s="2">
        <v>210</v>
      </c>
      <c r="I19" s="2">
        <v>13</v>
      </c>
      <c r="J19" s="2" t="s">
        <v>14</v>
      </c>
      <c r="K19" s="2">
        <f>VLOOKUP(A:A,[1]XuanStockQAResults!$A:$C,3,0)</f>
        <v>210</v>
      </c>
      <c r="L19" s="4">
        <f t="shared" ca="1" si="0"/>
        <v>17.393101041663613</v>
      </c>
    </row>
    <row r="20" spans="1:12" x14ac:dyDescent="0.2">
      <c r="A20" s="2" t="s">
        <v>46</v>
      </c>
      <c r="B20" s="3">
        <v>46214.311111111114</v>
      </c>
      <c r="C20" s="2" t="s">
        <v>12</v>
      </c>
      <c r="D20" s="2" t="s">
        <v>47</v>
      </c>
      <c r="E20" s="2">
        <v>2</v>
      </c>
      <c r="F20" s="2">
        <v>300</v>
      </c>
      <c r="G20" s="2">
        <v>0</v>
      </c>
      <c r="H20" s="2">
        <v>300</v>
      </c>
      <c r="I20" s="2">
        <v>18</v>
      </c>
      <c r="J20" s="2" t="s">
        <v>14</v>
      </c>
      <c r="K20" s="2">
        <f>VLOOKUP(A:A,[1]XuanStockQAResults!$A:$C,3,0)</f>
        <v>300</v>
      </c>
      <c r="L20" s="4">
        <f t="shared" ca="1" si="0"/>
        <v>34.638239930551208</v>
      </c>
    </row>
    <row r="21" spans="1:12" x14ac:dyDescent="0.2">
      <c r="A21" s="2" t="s">
        <v>48</v>
      </c>
      <c r="B21" s="3">
        <v>46246.636111111111</v>
      </c>
      <c r="C21" s="2" t="s">
        <v>12</v>
      </c>
      <c r="D21" s="2" t="s">
        <v>49</v>
      </c>
      <c r="E21" s="2">
        <v>1</v>
      </c>
      <c r="F21" s="2">
        <v>40</v>
      </c>
      <c r="G21" s="2">
        <v>0</v>
      </c>
      <c r="H21" s="2">
        <v>40</v>
      </c>
      <c r="I21" s="2">
        <v>4</v>
      </c>
      <c r="J21" s="2" t="s">
        <v>14</v>
      </c>
      <c r="K21" s="2">
        <f>VLOOKUP(A:A,[1]XuanStockQAResults!$A:$C,3,0)</f>
        <v>120</v>
      </c>
      <c r="L21" s="4">
        <f t="shared" ca="1" si="0"/>
        <v>2.3132399305541185</v>
      </c>
    </row>
    <row r="22" spans="1:12" x14ac:dyDescent="0.2">
      <c r="A22" s="2" t="s">
        <v>48</v>
      </c>
      <c r="B22" s="3">
        <v>46246.637499999997</v>
      </c>
      <c r="C22" s="2" t="s">
        <v>12</v>
      </c>
      <c r="D22" s="2" t="s">
        <v>50</v>
      </c>
      <c r="E22" s="2">
        <v>1</v>
      </c>
      <c r="F22" s="2">
        <v>80</v>
      </c>
      <c r="G22" s="2">
        <v>0</v>
      </c>
      <c r="H22" s="2">
        <v>80</v>
      </c>
      <c r="I22" s="2">
        <v>8</v>
      </c>
      <c r="J22" s="2" t="s">
        <v>14</v>
      </c>
      <c r="K22" s="2">
        <f>VLOOKUP(A:A,[1]XuanStockQAResults!$A:$C,3,0)</f>
        <v>120</v>
      </c>
      <c r="L22" s="4">
        <f t="shared" ca="1" si="0"/>
        <v>2.3118510416679783</v>
      </c>
    </row>
    <row r="23" spans="1:12" x14ac:dyDescent="0.2">
      <c r="A23" s="2" t="s">
        <v>51</v>
      </c>
      <c r="B23" s="3">
        <v>46248.63958333333</v>
      </c>
      <c r="C23" s="2" t="s">
        <v>12</v>
      </c>
      <c r="D23" s="2" t="s">
        <v>52</v>
      </c>
      <c r="E23" s="2">
        <v>1</v>
      </c>
      <c r="F23" s="2">
        <v>1000</v>
      </c>
      <c r="G23" s="2">
        <v>0</v>
      </c>
      <c r="H23" s="2">
        <v>1000</v>
      </c>
      <c r="I23" s="2">
        <v>40</v>
      </c>
      <c r="J23" s="2" t="s">
        <v>14</v>
      </c>
      <c r="K23" s="2">
        <f>VLOOKUP(A:A,[1]XuanStockQAResults!$A:$C,3,0)</f>
        <v>1000</v>
      </c>
      <c r="L23" s="4">
        <f t="shared" ca="1" si="0"/>
        <v>0.30976770833513001</v>
      </c>
    </row>
    <row r="24" spans="1:12" x14ac:dyDescent="0.2">
      <c r="A24" s="2" t="s">
        <v>53</v>
      </c>
      <c r="B24" s="3">
        <v>46248.640972222223</v>
      </c>
      <c r="C24" s="2" t="s">
        <v>12</v>
      </c>
      <c r="D24" s="2" t="s">
        <v>54</v>
      </c>
      <c r="E24" s="2">
        <v>1</v>
      </c>
      <c r="F24" s="2">
        <v>1500</v>
      </c>
      <c r="G24" s="2">
        <v>0</v>
      </c>
      <c r="H24" s="2">
        <v>1500</v>
      </c>
      <c r="I24" s="2">
        <v>45</v>
      </c>
      <c r="J24" s="2" t="s">
        <v>14</v>
      </c>
      <c r="K24" s="2">
        <f>VLOOKUP(A:A,[1]XuanStockQAResults!$A:$C,3,0)</f>
        <v>1500</v>
      </c>
      <c r="L24" s="4">
        <f t="shared" ca="1" si="0"/>
        <v>0.30837881944171386</v>
      </c>
    </row>
    <row r="25" spans="1:12" x14ac:dyDescent="0.2">
      <c r="A25" s="2" t="s">
        <v>55</v>
      </c>
      <c r="B25" s="3">
        <v>46240.644444444442</v>
      </c>
      <c r="C25" s="2" t="s">
        <v>12</v>
      </c>
      <c r="D25" s="2" t="s">
        <v>56</v>
      </c>
      <c r="E25" s="2">
        <v>1</v>
      </c>
      <c r="F25" s="2">
        <v>100</v>
      </c>
      <c r="G25" s="2">
        <v>0</v>
      </c>
      <c r="H25" s="2">
        <v>100</v>
      </c>
      <c r="I25" s="2">
        <v>10</v>
      </c>
      <c r="J25" s="2" t="s">
        <v>14</v>
      </c>
      <c r="K25" s="2">
        <f>VLOOKUP(A:A,[1]XuanStockQAResults!$A:$C,3,0)</f>
        <v>100</v>
      </c>
      <c r="L25" s="4">
        <f t="shared" ca="1" si="0"/>
        <v>8.3049065972227254</v>
      </c>
    </row>
    <row r="26" spans="1:12" x14ac:dyDescent="0.2">
      <c r="A26" s="2" t="s">
        <v>57</v>
      </c>
      <c r="B26" s="3">
        <v>46247.7</v>
      </c>
      <c r="C26" s="2" t="s">
        <v>10</v>
      </c>
      <c r="D26" s="2" t="s">
        <v>58</v>
      </c>
      <c r="E26" s="2">
        <v>1</v>
      </c>
      <c r="F26" s="2">
        <v>16</v>
      </c>
      <c r="G26" s="2">
        <v>0</v>
      </c>
      <c r="H26" s="2">
        <v>16</v>
      </c>
      <c r="I26" s="2">
        <v>16</v>
      </c>
      <c r="J26" s="2" t="s">
        <v>17</v>
      </c>
      <c r="K26" s="2">
        <f>VLOOKUP(A:A,[1]XuanStockQAResults!$A:$C,3,0)</f>
        <v>100</v>
      </c>
      <c r="L26" s="4">
        <f t="shared" ca="1" si="0"/>
        <v>1.2493510416679783</v>
      </c>
    </row>
    <row r="27" spans="1:12" x14ac:dyDescent="0.2">
      <c r="A27" s="2" t="s">
        <v>57</v>
      </c>
      <c r="B27" s="3">
        <v>46247.7</v>
      </c>
      <c r="C27" s="2" t="s">
        <v>10</v>
      </c>
      <c r="D27" s="2" t="s">
        <v>59</v>
      </c>
      <c r="E27" s="2">
        <v>1</v>
      </c>
      <c r="F27" s="2">
        <v>38</v>
      </c>
      <c r="G27" s="2">
        <v>0</v>
      </c>
      <c r="H27" s="2">
        <v>38</v>
      </c>
      <c r="I27" s="2">
        <v>38</v>
      </c>
      <c r="J27" s="2" t="s">
        <v>17</v>
      </c>
      <c r="K27" s="2">
        <f>VLOOKUP(A:A,[1]XuanStockQAResults!$A:$C,3,0)</f>
        <v>100</v>
      </c>
      <c r="L27" s="4">
        <f t="shared" ca="1" si="0"/>
        <v>1.2493510416679783</v>
      </c>
    </row>
    <row r="28" spans="1:12" x14ac:dyDescent="0.2">
      <c r="A28" s="2" t="s">
        <v>57</v>
      </c>
      <c r="B28" s="3">
        <v>46247.7</v>
      </c>
      <c r="C28" s="2" t="s">
        <v>10</v>
      </c>
      <c r="D28" s="2" t="s">
        <v>60</v>
      </c>
      <c r="E28" s="2">
        <v>1</v>
      </c>
      <c r="F28" s="2">
        <v>44</v>
      </c>
      <c r="G28" s="2">
        <v>0</v>
      </c>
      <c r="H28" s="2">
        <v>44</v>
      </c>
      <c r="I28" s="2">
        <v>44</v>
      </c>
      <c r="J28" s="2" t="s">
        <v>17</v>
      </c>
      <c r="K28" s="2">
        <f>VLOOKUP(A:A,[1]XuanStockQAResults!$A:$C,3,0)</f>
        <v>100</v>
      </c>
      <c r="L28" s="4">
        <f t="shared" ca="1" si="0"/>
        <v>1.2493510416679783</v>
      </c>
    </row>
    <row r="29" spans="1:12" x14ac:dyDescent="0.2">
      <c r="A29" s="2" t="s">
        <v>57</v>
      </c>
      <c r="B29" s="3">
        <v>46247.7</v>
      </c>
      <c r="C29" s="2" t="s">
        <v>10</v>
      </c>
      <c r="D29" s="2" t="s">
        <v>61</v>
      </c>
      <c r="E29" s="2">
        <v>1</v>
      </c>
      <c r="F29" s="2">
        <v>2</v>
      </c>
      <c r="G29" s="2">
        <v>0</v>
      </c>
      <c r="H29" s="2">
        <v>2</v>
      </c>
      <c r="I29" s="2">
        <v>2</v>
      </c>
      <c r="J29" s="2" t="s">
        <v>17</v>
      </c>
      <c r="K29" s="2">
        <f>VLOOKUP(A:A,[1]XuanStockQAResults!$A:$C,3,0)</f>
        <v>100</v>
      </c>
      <c r="L29" s="4">
        <f t="shared" ca="1" si="0"/>
        <v>1.2493510416679783</v>
      </c>
    </row>
    <row r="30" spans="1:12" x14ac:dyDescent="0.2">
      <c r="A30" s="2" t="s">
        <v>62</v>
      </c>
      <c r="B30" s="3">
        <v>46248.640972222223</v>
      </c>
      <c r="C30" s="2" t="s">
        <v>12</v>
      </c>
      <c r="D30" s="2" t="s">
        <v>54</v>
      </c>
      <c r="E30" s="2">
        <v>2</v>
      </c>
      <c r="F30" s="2">
        <v>1200</v>
      </c>
      <c r="G30" s="2">
        <v>0</v>
      </c>
      <c r="H30" s="2">
        <v>1200</v>
      </c>
      <c r="I30" s="2">
        <v>36</v>
      </c>
      <c r="J30" s="2" t="s">
        <v>14</v>
      </c>
      <c r="K30" s="2">
        <f>VLOOKUP(A:A,[1]XuanStockQAResults!$A:$C,3,0)</f>
        <v>1200</v>
      </c>
      <c r="L30" s="4">
        <f t="shared" ca="1" si="0"/>
        <v>0.30837881944171386</v>
      </c>
    </row>
    <row r="31" spans="1:12" x14ac:dyDescent="0.2">
      <c r="A31" s="2" t="s">
        <v>63</v>
      </c>
      <c r="B31" s="3">
        <v>46207.370138888888</v>
      </c>
      <c r="C31" s="2" t="s">
        <v>12</v>
      </c>
      <c r="D31" s="2" t="s">
        <v>64</v>
      </c>
      <c r="E31" s="2">
        <v>1</v>
      </c>
      <c r="F31" s="2">
        <v>5000</v>
      </c>
      <c r="G31" s="2">
        <v>0</v>
      </c>
      <c r="H31" s="2">
        <v>5000</v>
      </c>
      <c r="I31" s="2">
        <v>150</v>
      </c>
      <c r="J31" s="2" t="s">
        <v>14</v>
      </c>
      <c r="K31" s="2">
        <f>VLOOKUP(A:A,[1]XuanStockQAResults!$A:$C,3,0)</f>
        <v>5000</v>
      </c>
      <c r="L31" s="4">
        <f t="shared" ca="1" si="0"/>
        <v>41.579212152777473</v>
      </c>
    </row>
    <row r="32" spans="1:12" x14ac:dyDescent="0.2">
      <c r="A32" s="2" t="s">
        <v>65</v>
      </c>
      <c r="B32" s="3">
        <v>46207.370138888888</v>
      </c>
      <c r="C32" s="2" t="s">
        <v>12</v>
      </c>
      <c r="D32" s="2" t="s">
        <v>64</v>
      </c>
      <c r="E32" s="2">
        <v>2</v>
      </c>
      <c r="F32" s="2">
        <v>600</v>
      </c>
      <c r="G32" s="2">
        <v>0</v>
      </c>
      <c r="H32" s="2">
        <v>600</v>
      </c>
      <c r="I32" s="2">
        <v>24</v>
      </c>
      <c r="J32" s="2" t="s">
        <v>14</v>
      </c>
      <c r="K32" s="2">
        <f>VLOOKUP(A:A,[1]XuanStockQAResults!$A:$C,3,0)</f>
        <v>600</v>
      </c>
      <c r="L32" s="4">
        <f t="shared" ca="1" si="0"/>
        <v>41.579212152777473</v>
      </c>
    </row>
    <row r="33" spans="1:12" x14ac:dyDescent="0.2">
      <c r="A33" s="2" t="s">
        <v>66</v>
      </c>
      <c r="B33" s="3">
        <v>46212.663888888892</v>
      </c>
      <c r="C33" s="2" t="s">
        <v>12</v>
      </c>
      <c r="D33" s="2" t="s">
        <v>67</v>
      </c>
      <c r="E33" s="2">
        <v>1</v>
      </c>
      <c r="F33" s="2">
        <v>500</v>
      </c>
      <c r="G33" s="2">
        <v>0</v>
      </c>
      <c r="H33" s="2">
        <v>500</v>
      </c>
      <c r="I33" s="2">
        <v>30</v>
      </c>
      <c r="J33" s="2" t="s">
        <v>14</v>
      </c>
      <c r="K33" s="2">
        <f>VLOOKUP(A:A,[1]XuanStockQAResults!$A:$C,3,0)</f>
        <v>500</v>
      </c>
      <c r="L33" s="4">
        <f t="shared" ca="1" si="0"/>
        <v>36.285462152773107</v>
      </c>
    </row>
    <row r="34" spans="1:12" x14ac:dyDescent="0.2">
      <c r="A34" s="2" t="s">
        <v>68</v>
      </c>
      <c r="B34" s="3">
        <v>46238.543749999997</v>
      </c>
      <c r="C34" s="2" t="s">
        <v>12</v>
      </c>
      <c r="D34" s="2" t="s">
        <v>69</v>
      </c>
      <c r="E34" s="2">
        <v>1</v>
      </c>
      <c r="F34" s="2">
        <v>525</v>
      </c>
      <c r="G34" s="2">
        <v>0</v>
      </c>
      <c r="H34" s="2">
        <v>525</v>
      </c>
      <c r="I34" s="2">
        <v>21</v>
      </c>
      <c r="J34" s="2" t="s">
        <v>14</v>
      </c>
      <c r="K34" s="2">
        <f>VLOOKUP(A:A,[1]XuanStockQAResults!$A:$C,3,0)</f>
        <v>525</v>
      </c>
      <c r="L34" s="4">
        <f t="shared" ca="1" si="0"/>
        <v>10.405601041667978</v>
      </c>
    </row>
    <row r="35" spans="1:12" x14ac:dyDescent="0.2">
      <c r="A35" s="2" t="s">
        <v>70</v>
      </c>
      <c r="B35" s="3">
        <v>46240.644444444442</v>
      </c>
      <c r="C35" s="2" t="s">
        <v>12</v>
      </c>
      <c r="D35" s="2" t="s">
        <v>56</v>
      </c>
      <c r="E35" s="2">
        <v>2</v>
      </c>
      <c r="F35" s="2">
        <v>300</v>
      </c>
      <c r="G35" s="2">
        <v>0</v>
      </c>
      <c r="H35" s="2">
        <v>300</v>
      </c>
      <c r="I35" s="2">
        <v>18</v>
      </c>
      <c r="J35" s="2" t="s">
        <v>14</v>
      </c>
      <c r="K35" s="2">
        <f>VLOOKUP(A:A,[1]XuanStockQAResults!$A:$C,3,0)</f>
        <v>300</v>
      </c>
      <c r="L35" s="4">
        <f t="shared" ca="1" si="0"/>
        <v>8.3049065972227254</v>
      </c>
    </row>
    <row r="36" spans="1:12" x14ac:dyDescent="0.2">
      <c r="A36" s="2" t="s">
        <v>71</v>
      </c>
      <c r="B36" s="3">
        <v>46234.331250000003</v>
      </c>
      <c r="C36" s="2" t="s">
        <v>12</v>
      </c>
      <c r="D36" s="2" t="s">
        <v>72</v>
      </c>
      <c r="E36" s="2">
        <v>1</v>
      </c>
      <c r="F36" s="2">
        <v>996</v>
      </c>
      <c r="G36" s="2">
        <v>0</v>
      </c>
      <c r="H36" s="2">
        <v>996</v>
      </c>
      <c r="I36" s="2">
        <v>40</v>
      </c>
      <c r="J36" s="2" t="s">
        <v>14</v>
      </c>
      <c r="K36" s="2">
        <f>VLOOKUP(A:A,[1]XuanStockQAResults!$A:$C,3,0)</f>
        <v>996</v>
      </c>
      <c r="L36" s="4">
        <f t="shared" ca="1" si="0"/>
        <v>14.618101041662158</v>
      </c>
    </row>
    <row r="37" spans="1:12" x14ac:dyDescent="0.2">
      <c r="A37" s="2" t="s">
        <v>73</v>
      </c>
      <c r="B37" s="3">
        <v>46220.319444444445</v>
      </c>
      <c r="C37" s="2" t="s">
        <v>12</v>
      </c>
      <c r="D37" s="2" t="s">
        <v>74</v>
      </c>
      <c r="E37" s="2">
        <v>1</v>
      </c>
      <c r="F37" s="2">
        <v>200</v>
      </c>
      <c r="G37" s="2">
        <v>0</v>
      </c>
      <c r="H37" s="2">
        <v>200</v>
      </c>
      <c r="I37" s="2">
        <v>16</v>
      </c>
      <c r="J37" s="2" t="s">
        <v>14</v>
      </c>
      <c r="K37" s="2">
        <f>VLOOKUP(A:A,[1]XuanStockQAResults!$A:$C,3,0)</f>
        <v>200</v>
      </c>
      <c r="L37" s="4">
        <f t="shared" ca="1" si="0"/>
        <v>28.629906597219815</v>
      </c>
    </row>
    <row r="38" spans="1:12" x14ac:dyDescent="0.2">
      <c r="A38" s="2" t="s">
        <v>75</v>
      </c>
      <c r="B38" s="3">
        <v>46210.438888888886</v>
      </c>
      <c r="C38" s="2" t="s">
        <v>12</v>
      </c>
      <c r="D38" s="2" t="s">
        <v>76</v>
      </c>
      <c r="E38" s="2">
        <v>1</v>
      </c>
      <c r="F38" s="2">
        <v>4</v>
      </c>
      <c r="G38" s="2">
        <v>0</v>
      </c>
      <c r="H38" s="2">
        <v>4</v>
      </c>
      <c r="I38" s="2">
        <v>4</v>
      </c>
      <c r="J38" s="2" t="s">
        <v>14</v>
      </c>
      <c r="K38" s="2">
        <f>VLOOKUP(A:A,[1]XuanStockQAResults!$A:$C,3,0)</f>
        <v>8</v>
      </c>
      <c r="L38" s="4">
        <f t="shared" ca="1" si="0"/>
        <v>38.510462152778928</v>
      </c>
    </row>
    <row r="39" spans="1:12" x14ac:dyDescent="0.2">
      <c r="A39" s="2" t="s">
        <v>75</v>
      </c>
      <c r="B39" s="3">
        <v>46240.667361111111</v>
      </c>
      <c r="C39" s="2" t="s">
        <v>12</v>
      </c>
      <c r="D39" s="2" t="s">
        <v>77</v>
      </c>
      <c r="E39" s="2">
        <v>1</v>
      </c>
      <c r="F39" s="2">
        <v>4</v>
      </c>
      <c r="G39" s="2">
        <v>0</v>
      </c>
      <c r="H39" s="2">
        <v>4</v>
      </c>
      <c r="I39" s="2">
        <v>4</v>
      </c>
      <c r="J39" s="2" t="s">
        <v>14</v>
      </c>
      <c r="K39" s="2">
        <f>VLOOKUP(A:A,[1]XuanStockQAResults!$A:$C,3,0)</f>
        <v>8</v>
      </c>
      <c r="L39" s="4">
        <f t="shared" ca="1" si="0"/>
        <v>8.2819899305541185</v>
      </c>
    </row>
    <row r="40" spans="1:12" x14ac:dyDescent="0.2">
      <c r="A40" s="2" t="s">
        <v>78</v>
      </c>
      <c r="B40" s="3">
        <v>46247.394444444442</v>
      </c>
      <c r="C40" s="2" t="s">
        <v>10</v>
      </c>
      <c r="D40" s="2" t="s">
        <v>79</v>
      </c>
      <c r="E40" s="2">
        <v>1</v>
      </c>
      <c r="F40" s="2">
        <v>5000</v>
      </c>
      <c r="G40" s="2">
        <v>0</v>
      </c>
      <c r="H40" s="2">
        <v>5000</v>
      </c>
      <c r="I40" s="2">
        <v>150</v>
      </c>
      <c r="J40" s="2" t="s">
        <v>14</v>
      </c>
      <c r="K40" s="2">
        <f>VLOOKUP(A:A,[1]XuanStockQAResults!$A:$C,3,0)</f>
        <v>5000</v>
      </c>
      <c r="L40" s="4">
        <f t="shared" ca="1" si="0"/>
        <v>1.5549065972227254</v>
      </c>
    </row>
    <row r="41" spans="1:12" x14ac:dyDescent="0.2">
      <c r="A41" s="2" t="s">
        <v>80</v>
      </c>
      <c r="B41" s="3">
        <v>46230.434027777781</v>
      </c>
      <c r="C41" s="2" t="s">
        <v>12</v>
      </c>
      <c r="D41" s="2" t="s">
        <v>81</v>
      </c>
      <c r="E41" s="2">
        <v>1</v>
      </c>
      <c r="F41" s="2">
        <v>63</v>
      </c>
      <c r="G41" s="2">
        <v>0</v>
      </c>
      <c r="H41" s="2">
        <v>63</v>
      </c>
      <c r="I41" s="2">
        <v>7</v>
      </c>
      <c r="J41" s="2" t="s">
        <v>14</v>
      </c>
      <c r="K41" s="2">
        <f>VLOOKUP(A:A,[1]XuanStockQAResults!$A:$C,3,0)</f>
        <v>63</v>
      </c>
      <c r="L41" s="4">
        <f t="shared" ca="1" si="0"/>
        <v>18.515323263884056</v>
      </c>
    </row>
    <row r="42" spans="1:12" x14ac:dyDescent="0.2">
      <c r="A42" s="2" t="s">
        <v>82</v>
      </c>
      <c r="B42" s="3">
        <v>46220.315972222219</v>
      </c>
      <c r="C42" s="2" t="s">
        <v>12</v>
      </c>
      <c r="D42" s="2" t="s">
        <v>83</v>
      </c>
      <c r="E42" s="2">
        <v>1</v>
      </c>
      <c r="F42" s="2">
        <v>200</v>
      </c>
      <c r="G42" s="2">
        <v>0</v>
      </c>
      <c r="H42" s="2">
        <v>200</v>
      </c>
      <c r="I42" s="2">
        <v>16</v>
      </c>
      <c r="J42" s="2" t="s">
        <v>14</v>
      </c>
      <c r="K42" s="2">
        <f>VLOOKUP(A:A,[1]XuanStockQAResults!$A:$C,3,0)</f>
        <v>400</v>
      </c>
      <c r="L42" s="4">
        <f t="shared" ca="1" si="0"/>
        <v>28.633378819446079</v>
      </c>
    </row>
    <row r="43" spans="1:12" x14ac:dyDescent="0.2">
      <c r="A43" s="2" t="s">
        <v>82</v>
      </c>
      <c r="B43" s="3">
        <v>46240.645833333336</v>
      </c>
      <c r="C43" s="2" t="s">
        <v>12</v>
      </c>
      <c r="D43" s="2" t="s">
        <v>84</v>
      </c>
      <c r="E43" s="2">
        <v>1</v>
      </c>
      <c r="F43" s="2">
        <v>200</v>
      </c>
      <c r="G43" s="2">
        <v>0</v>
      </c>
      <c r="H43" s="2">
        <v>200</v>
      </c>
      <c r="I43" s="2">
        <v>16</v>
      </c>
      <c r="J43" s="2" t="s">
        <v>14</v>
      </c>
      <c r="K43" s="2">
        <f>VLOOKUP(A:A,[1]XuanStockQAResults!$A:$C,3,0)</f>
        <v>400</v>
      </c>
      <c r="L43" s="4">
        <f t="shared" ca="1" si="0"/>
        <v>8.3035177083293092</v>
      </c>
    </row>
    <row r="44" spans="1:12" x14ac:dyDescent="0.2">
      <c r="A44" s="2" t="s">
        <v>85</v>
      </c>
      <c r="B44" s="3">
        <v>46233.45</v>
      </c>
      <c r="C44" s="2" t="s">
        <v>12</v>
      </c>
      <c r="D44" s="2" t="s">
        <v>86</v>
      </c>
      <c r="E44" s="2">
        <v>2</v>
      </c>
      <c r="F44" s="2">
        <v>52</v>
      </c>
      <c r="G44" s="2">
        <v>0</v>
      </c>
      <c r="H44" s="2">
        <v>52</v>
      </c>
      <c r="I44" s="2">
        <v>6</v>
      </c>
      <c r="J44" s="2" t="s">
        <v>14</v>
      </c>
      <c r="K44" s="2">
        <f>VLOOKUP(A:A,[1]XuanStockQAResults!$A:$C,3,0)</f>
        <v>52</v>
      </c>
      <c r="L44" s="4">
        <f t="shared" ca="1" si="0"/>
        <v>15.499351041667978</v>
      </c>
    </row>
    <row r="45" spans="1:12" x14ac:dyDescent="0.2">
      <c r="A45" s="2" t="s">
        <v>87</v>
      </c>
      <c r="B45" s="3">
        <v>46248.645138888889</v>
      </c>
      <c r="C45" s="2" t="s">
        <v>12</v>
      </c>
      <c r="D45" s="2" t="s">
        <v>88</v>
      </c>
      <c r="E45" s="2">
        <v>1</v>
      </c>
      <c r="F45" s="2">
        <v>105</v>
      </c>
      <c r="G45" s="2">
        <v>0</v>
      </c>
      <c r="H45" s="2">
        <v>105</v>
      </c>
      <c r="I45" s="2">
        <v>9</v>
      </c>
      <c r="J45" s="2" t="s">
        <v>14</v>
      </c>
      <c r="K45" s="2">
        <f>VLOOKUP(A:A,[1]XuanStockQAResults!$A:$C,3,0)</f>
        <v>105</v>
      </c>
      <c r="L45" s="4">
        <f t="shared" ca="1" si="0"/>
        <v>0.30421215277601732</v>
      </c>
    </row>
    <row r="46" spans="1:12" x14ac:dyDescent="0.2">
      <c r="A46" s="2" t="s">
        <v>89</v>
      </c>
      <c r="B46" s="3">
        <v>46248.640277777777</v>
      </c>
      <c r="C46" s="2" t="s">
        <v>12</v>
      </c>
      <c r="D46" s="2" t="s">
        <v>90</v>
      </c>
      <c r="E46" s="2">
        <v>1</v>
      </c>
      <c r="F46" s="2">
        <v>100</v>
      </c>
      <c r="G46" s="2">
        <v>0</v>
      </c>
      <c r="H46" s="2">
        <v>100</v>
      </c>
      <c r="I46" s="2">
        <v>10</v>
      </c>
      <c r="J46" s="2" t="s">
        <v>14</v>
      </c>
      <c r="K46" s="2">
        <f>VLOOKUP(A:A,[1]XuanStockQAResults!$A:$C,3,0)</f>
        <v>100</v>
      </c>
      <c r="L46" s="4">
        <f t="shared" ca="1" si="0"/>
        <v>0.30907326388842193</v>
      </c>
    </row>
    <row r="47" spans="1:12" x14ac:dyDescent="0.2">
      <c r="A47" s="2" t="s">
        <v>91</v>
      </c>
      <c r="B47" s="3">
        <v>46220.315972222219</v>
      </c>
      <c r="C47" s="2" t="s">
        <v>12</v>
      </c>
      <c r="D47" s="2" t="s">
        <v>83</v>
      </c>
      <c r="E47" s="2">
        <v>2</v>
      </c>
      <c r="F47" s="2">
        <v>100</v>
      </c>
      <c r="G47" s="2">
        <v>0</v>
      </c>
      <c r="H47" s="2">
        <v>100</v>
      </c>
      <c r="I47" s="2">
        <v>10</v>
      </c>
      <c r="J47" s="2" t="s">
        <v>14</v>
      </c>
      <c r="K47" s="2">
        <f>VLOOKUP(A:A,[1]XuanStockQAResults!$A:$C,3,0)</f>
        <v>100</v>
      </c>
      <c r="L47" s="4">
        <f t="shared" ca="1" si="0"/>
        <v>28.633378819446079</v>
      </c>
    </row>
    <row r="48" spans="1:12" x14ac:dyDescent="0.2">
      <c r="A48" s="2" t="s">
        <v>92</v>
      </c>
      <c r="B48" s="3">
        <v>46248.638888888891</v>
      </c>
      <c r="C48" s="2" t="s">
        <v>12</v>
      </c>
      <c r="D48" s="2" t="s">
        <v>93</v>
      </c>
      <c r="E48" s="2">
        <v>1</v>
      </c>
      <c r="F48" s="2">
        <v>200</v>
      </c>
      <c r="G48" s="2">
        <v>0</v>
      </c>
      <c r="H48" s="2">
        <v>200</v>
      </c>
      <c r="I48" s="2">
        <v>16</v>
      </c>
      <c r="J48" s="2" t="s">
        <v>14</v>
      </c>
      <c r="K48" s="2">
        <f>VLOOKUP(A:A,[1]XuanStockQAResults!$A:$C,3,0)</f>
        <v>200</v>
      </c>
      <c r="L48" s="4">
        <f t="shared" ca="1" si="0"/>
        <v>0.31046215277456213</v>
      </c>
    </row>
    <row r="49" spans="1:12" x14ac:dyDescent="0.2">
      <c r="A49" s="2" t="s">
        <v>94</v>
      </c>
      <c r="B49" s="3">
        <v>46214.311111111114</v>
      </c>
      <c r="C49" s="2" t="s">
        <v>12</v>
      </c>
      <c r="D49" s="2" t="s">
        <v>47</v>
      </c>
      <c r="E49" s="2">
        <v>3</v>
      </c>
      <c r="F49" s="2">
        <v>100</v>
      </c>
      <c r="G49" s="2">
        <v>0</v>
      </c>
      <c r="H49" s="2">
        <v>100</v>
      </c>
      <c r="I49" s="2">
        <v>10</v>
      </c>
      <c r="J49" s="2" t="s">
        <v>14</v>
      </c>
      <c r="K49" s="2">
        <f>VLOOKUP(A:A,[1]XuanStockQAResults!$A:$C,3,0)</f>
        <v>200</v>
      </c>
      <c r="L49" s="4">
        <f t="shared" ca="1" si="0"/>
        <v>34.638239930551208</v>
      </c>
    </row>
    <row r="50" spans="1:12" x14ac:dyDescent="0.2">
      <c r="A50" s="2" t="s">
        <v>94</v>
      </c>
      <c r="B50" s="3">
        <v>46240.631944444445</v>
      </c>
      <c r="C50" s="2" t="s">
        <v>12</v>
      </c>
      <c r="D50" s="2" t="s">
        <v>95</v>
      </c>
      <c r="E50" s="2">
        <v>2</v>
      </c>
      <c r="F50" s="2">
        <v>100</v>
      </c>
      <c r="G50" s="2">
        <v>0</v>
      </c>
      <c r="H50" s="2">
        <v>100</v>
      </c>
      <c r="I50" s="2">
        <v>10</v>
      </c>
      <c r="J50" s="2" t="s">
        <v>14</v>
      </c>
      <c r="K50" s="2">
        <f>VLOOKUP(A:A,[1]XuanStockQAResults!$A:$C,3,0)</f>
        <v>200</v>
      </c>
      <c r="L50" s="4">
        <f t="shared" ca="1" si="0"/>
        <v>8.317406597219815</v>
      </c>
    </row>
    <row r="51" spans="1:12" x14ac:dyDescent="0.2">
      <c r="A51" s="2" t="s">
        <v>96</v>
      </c>
      <c r="B51" s="3">
        <v>46234.335416666669</v>
      </c>
      <c r="C51" s="2" t="s">
        <v>12</v>
      </c>
      <c r="D51" s="2" t="s">
        <v>97</v>
      </c>
      <c r="E51" s="2">
        <v>1</v>
      </c>
      <c r="F51" s="2">
        <v>200</v>
      </c>
      <c r="G51" s="2">
        <v>0</v>
      </c>
      <c r="H51" s="2">
        <v>200</v>
      </c>
      <c r="I51" s="2">
        <v>16</v>
      </c>
      <c r="J51" s="2" t="s">
        <v>14</v>
      </c>
      <c r="K51" s="2">
        <f>VLOOKUP(A:A,[1]XuanStockQAResults!$A:$C,3,0)</f>
        <v>200</v>
      </c>
      <c r="L51" s="4">
        <f t="shared" ca="1" si="0"/>
        <v>14.613934374996461</v>
      </c>
    </row>
    <row r="52" spans="1:12" x14ac:dyDescent="0.2">
      <c r="A52" s="2" t="s">
        <v>98</v>
      </c>
      <c r="B52" s="3">
        <v>46214.309027777781</v>
      </c>
      <c r="C52" s="2" t="s">
        <v>12</v>
      </c>
      <c r="D52" s="2" t="s">
        <v>99</v>
      </c>
      <c r="E52" s="2">
        <v>2</v>
      </c>
      <c r="F52" s="2">
        <v>200</v>
      </c>
      <c r="G52" s="2">
        <v>0</v>
      </c>
      <c r="H52" s="2">
        <v>200</v>
      </c>
      <c r="I52" s="2">
        <v>16</v>
      </c>
      <c r="J52" s="2" t="s">
        <v>14</v>
      </c>
      <c r="K52" s="2">
        <f>VLOOKUP(A:A,[1]XuanStockQAResults!$A:$C,3,0)</f>
        <v>200</v>
      </c>
      <c r="L52" s="4">
        <f t="shared" ca="1" si="0"/>
        <v>34.640323263884056</v>
      </c>
    </row>
    <row r="53" spans="1:12" x14ac:dyDescent="0.2">
      <c r="A53" s="2" t="s">
        <v>100</v>
      </c>
      <c r="B53" s="3">
        <v>46234.333333333336</v>
      </c>
      <c r="C53" s="2" t="s">
        <v>12</v>
      </c>
      <c r="D53" s="2" t="s">
        <v>101</v>
      </c>
      <c r="E53" s="2">
        <v>1</v>
      </c>
      <c r="F53" s="2">
        <v>130</v>
      </c>
      <c r="G53" s="2">
        <v>0</v>
      </c>
      <c r="H53" s="2">
        <v>130</v>
      </c>
      <c r="I53" s="2">
        <v>11</v>
      </c>
      <c r="J53" s="2" t="s">
        <v>14</v>
      </c>
      <c r="K53" s="2">
        <f>VLOOKUP(A:A,[1]XuanStockQAResults!$A:$C,3,0)</f>
        <v>130</v>
      </c>
      <c r="L53" s="4">
        <f t="shared" ca="1" si="0"/>
        <v>14.616017708329309</v>
      </c>
    </row>
    <row r="54" spans="1:12" x14ac:dyDescent="0.2">
      <c r="A54" s="2" t="s">
        <v>102</v>
      </c>
      <c r="B54" s="3">
        <v>46248.640972222223</v>
      </c>
      <c r="C54" s="2" t="s">
        <v>12</v>
      </c>
      <c r="D54" s="2" t="s">
        <v>103</v>
      </c>
      <c r="E54" s="2">
        <v>1</v>
      </c>
      <c r="F54" s="2">
        <v>100</v>
      </c>
      <c r="G54" s="2">
        <v>0</v>
      </c>
      <c r="H54" s="2">
        <v>100</v>
      </c>
      <c r="I54" s="2">
        <v>10</v>
      </c>
      <c r="J54" s="2" t="s">
        <v>14</v>
      </c>
      <c r="K54" s="2">
        <f>VLOOKUP(A:A,[1]XuanStockQAResults!$A:$C,3,0)</f>
        <v>100</v>
      </c>
      <c r="L54" s="4">
        <f t="shared" ca="1" si="0"/>
        <v>0.30837881944171386</v>
      </c>
    </row>
    <row r="55" spans="1:12" x14ac:dyDescent="0.2">
      <c r="A55" s="2" t="s">
        <v>104</v>
      </c>
      <c r="B55" s="3">
        <v>46214.311111111114</v>
      </c>
      <c r="C55" s="2" t="s">
        <v>12</v>
      </c>
      <c r="D55" s="2" t="s">
        <v>47</v>
      </c>
      <c r="E55" s="2">
        <v>4</v>
      </c>
      <c r="F55" s="2">
        <v>200</v>
      </c>
      <c r="G55" s="2">
        <v>0</v>
      </c>
      <c r="H55" s="2">
        <v>200</v>
      </c>
      <c r="I55" s="2">
        <v>16</v>
      </c>
      <c r="J55" s="2" t="s">
        <v>14</v>
      </c>
      <c r="K55" s="2">
        <f>VLOOKUP(A:A,[1]XuanStockQAResults!$A:$C,3,0)</f>
        <v>200</v>
      </c>
      <c r="L55" s="4">
        <f t="shared" ca="1" si="0"/>
        <v>34.638239930551208</v>
      </c>
    </row>
    <row r="56" spans="1:12" x14ac:dyDescent="0.2">
      <c r="A56" s="2" t="s">
        <v>105</v>
      </c>
      <c r="B56" s="3">
        <v>46214.311111111114</v>
      </c>
      <c r="C56" s="2" t="s">
        <v>12</v>
      </c>
      <c r="D56" s="2" t="s">
        <v>47</v>
      </c>
      <c r="E56" s="2">
        <v>5</v>
      </c>
      <c r="F56" s="2">
        <v>400</v>
      </c>
      <c r="G56" s="2">
        <v>0</v>
      </c>
      <c r="H56" s="2">
        <v>400</v>
      </c>
      <c r="I56" s="2">
        <v>24</v>
      </c>
      <c r="J56" s="2" t="s">
        <v>14</v>
      </c>
      <c r="K56" s="2">
        <f>VLOOKUP(A:A,[1]XuanStockQAResults!$A:$C,3,0)</f>
        <v>800</v>
      </c>
      <c r="L56" s="4">
        <f t="shared" ca="1" si="0"/>
        <v>34.638239930551208</v>
      </c>
    </row>
    <row r="57" spans="1:12" x14ac:dyDescent="0.2">
      <c r="A57" s="2" t="s">
        <v>105</v>
      </c>
      <c r="B57" s="3">
        <v>46227.63958333333</v>
      </c>
      <c r="C57" s="2" t="s">
        <v>12</v>
      </c>
      <c r="D57" s="2" t="s">
        <v>106</v>
      </c>
      <c r="E57" s="2">
        <v>2</v>
      </c>
      <c r="F57" s="2">
        <v>400</v>
      </c>
      <c r="G57" s="2">
        <v>0</v>
      </c>
      <c r="H57" s="2">
        <v>400</v>
      </c>
      <c r="I57" s="2">
        <v>24</v>
      </c>
      <c r="J57" s="2" t="s">
        <v>14</v>
      </c>
      <c r="K57" s="2">
        <f>VLOOKUP(A:A,[1]XuanStockQAResults!$A:$C,3,0)</f>
        <v>800</v>
      </c>
      <c r="L57" s="4">
        <f t="shared" ca="1" si="0"/>
        <v>21.30976770833513</v>
      </c>
    </row>
    <row r="58" spans="1:12" x14ac:dyDescent="0.2">
      <c r="A58" s="2" t="s">
        <v>107</v>
      </c>
      <c r="B58" s="3">
        <v>46212.558333333334</v>
      </c>
      <c r="C58" s="2" t="s">
        <v>12</v>
      </c>
      <c r="D58" s="2" t="s">
        <v>108</v>
      </c>
      <c r="E58" s="2">
        <v>1</v>
      </c>
      <c r="F58" s="2">
        <v>500</v>
      </c>
      <c r="G58" s="2">
        <v>0</v>
      </c>
      <c r="H58" s="2">
        <v>500</v>
      </c>
      <c r="I58" s="2">
        <v>30</v>
      </c>
      <c r="J58" s="2" t="s">
        <v>14</v>
      </c>
      <c r="K58" s="2">
        <f>VLOOKUP(A:A,[1]XuanStockQAResults!$A:$C,3,0)</f>
        <v>500</v>
      </c>
      <c r="L58" s="4">
        <f t="shared" ca="1" si="0"/>
        <v>36.391017708330764</v>
      </c>
    </row>
    <row r="59" spans="1:12" x14ac:dyDescent="0.2">
      <c r="A59" s="2" t="s">
        <v>109</v>
      </c>
      <c r="B59" s="3">
        <v>46237.582638888889</v>
      </c>
      <c r="C59" s="2" t="s">
        <v>10</v>
      </c>
      <c r="D59" s="2" t="s">
        <v>110</v>
      </c>
      <c r="E59" s="2">
        <v>1</v>
      </c>
      <c r="F59" s="2">
        <v>5</v>
      </c>
      <c r="G59" s="2">
        <v>0</v>
      </c>
      <c r="H59" s="2">
        <v>5</v>
      </c>
      <c r="I59" s="2">
        <v>5</v>
      </c>
      <c r="J59" s="2" t="s">
        <v>14</v>
      </c>
      <c r="K59" s="2">
        <f>VLOOKUP(A:A,[1]XuanStockQAResults!$A:$C,3,0)</f>
        <v>100</v>
      </c>
      <c r="L59" s="4">
        <f t="shared" ca="1" si="0"/>
        <v>11.366712152776017</v>
      </c>
    </row>
    <row r="60" spans="1:12" x14ac:dyDescent="0.2">
      <c r="A60" s="2" t="s">
        <v>109</v>
      </c>
      <c r="B60" s="3">
        <v>46248.636805555558</v>
      </c>
      <c r="C60" s="2" t="s">
        <v>10</v>
      </c>
      <c r="D60" s="2" t="s">
        <v>111</v>
      </c>
      <c r="E60" s="2">
        <v>1</v>
      </c>
      <c r="F60" s="2">
        <v>95</v>
      </c>
      <c r="G60" s="2">
        <v>0</v>
      </c>
      <c r="H60" s="2">
        <v>95</v>
      </c>
      <c r="I60" s="2">
        <v>10</v>
      </c>
      <c r="J60" s="2" t="s">
        <v>14</v>
      </c>
      <c r="K60" s="2">
        <f>VLOOKUP(A:A,[1]XuanStockQAResults!$A:$C,3,0)</f>
        <v>100</v>
      </c>
      <c r="L60" s="4">
        <f t="shared" ca="1" si="0"/>
        <v>0.3125454861074104</v>
      </c>
    </row>
    <row r="61" spans="1:12" x14ac:dyDescent="0.2">
      <c r="A61" s="2" t="s">
        <v>112</v>
      </c>
      <c r="B61" s="3">
        <v>46248.636111111111</v>
      </c>
      <c r="C61" s="2" t="s">
        <v>10</v>
      </c>
      <c r="D61" s="2" t="s">
        <v>113</v>
      </c>
      <c r="E61" s="2">
        <v>1</v>
      </c>
      <c r="F61" s="2">
        <v>360</v>
      </c>
      <c r="G61" s="2">
        <v>0</v>
      </c>
      <c r="H61" s="2">
        <v>360</v>
      </c>
      <c r="I61" s="2">
        <v>22</v>
      </c>
      <c r="J61" s="2" t="s">
        <v>14</v>
      </c>
      <c r="K61" s="2">
        <f>VLOOKUP(A:A,[1]XuanStockQAResults!$A:$C,3,0)</f>
        <v>360</v>
      </c>
      <c r="L61" s="4">
        <f t="shared" ca="1" si="0"/>
        <v>0.31323993055411847</v>
      </c>
    </row>
    <row r="62" spans="1:12" x14ac:dyDescent="0.2">
      <c r="A62" s="2" t="s">
        <v>114</v>
      </c>
      <c r="B62" s="3">
        <v>46237.647222222222</v>
      </c>
      <c r="C62" s="2" t="s">
        <v>10</v>
      </c>
      <c r="D62" s="2" t="s">
        <v>115</v>
      </c>
      <c r="E62" s="2">
        <v>1</v>
      </c>
      <c r="F62" s="2">
        <v>2</v>
      </c>
      <c r="G62" s="2">
        <v>0</v>
      </c>
      <c r="H62" s="2">
        <v>2</v>
      </c>
      <c r="I62" s="2">
        <v>2</v>
      </c>
      <c r="J62" s="2" t="s">
        <v>14</v>
      </c>
      <c r="K62" s="2">
        <f>VLOOKUP(A:A,[1]XuanStockQAResults!$A:$C,3,0)</f>
        <v>2</v>
      </c>
      <c r="L62" s="4">
        <f t="shared" ca="1" si="0"/>
        <v>11.302128819443169</v>
      </c>
    </row>
    <row r="63" spans="1:12" x14ac:dyDescent="0.2">
      <c r="A63" s="2" t="s">
        <v>116</v>
      </c>
      <c r="B63" s="3">
        <v>46212.663888888892</v>
      </c>
      <c r="C63" s="2" t="s">
        <v>12</v>
      </c>
      <c r="D63" s="2" t="s">
        <v>67</v>
      </c>
      <c r="E63" s="2">
        <v>4</v>
      </c>
      <c r="F63" s="2">
        <v>500</v>
      </c>
      <c r="G63" s="2">
        <v>0</v>
      </c>
      <c r="H63" s="2">
        <v>500</v>
      </c>
      <c r="I63" s="2">
        <v>30</v>
      </c>
      <c r="J63" s="2" t="s">
        <v>14</v>
      </c>
      <c r="K63" s="2">
        <f>VLOOKUP(A:A,[1]XuanStockQAResults!$A:$C,3,0)</f>
        <v>500</v>
      </c>
      <c r="L63" s="4">
        <f t="shared" ca="1" si="0"/>
        <v>36.285462152773107</v>
      </c>
    </row>
    <row r="64" spans="1:12" x14ac:dyDescent="0.2">
      <c r="A64" s="2" t="s">
        <v>117</v>
      </c>
      <c r="B64" s="3">
        <v>46234.336111111108</v>
      </c>
      <c r="C64" s="2" t="s">
        <v>12</v>
      </c>
      <c r="D64" s="2" t="s">
        <v>118</v>
      </c>
      <c r="E64" s="2">
        <v>1</v>
      </c>
      <c r="F64" s="2">
        <v>5000</v>
      </c>
      <c r="G64" s="2">
        <v>0</v>
      </c>
      <c r="H64" s="2">
        <v>5000</v>
      </c>
      <c r="I64" s="2">
        <v>150</v>
      </c>
      <c r="J64" s="2" t="s">
        <v>14</v>
      </c>
      <c r="K64" s="2">
        <f>VLOOKUP(A:A,[1]XuanStockQAResults!$A:$C,3,0)</f>
        <v>5000</v>
      </c>
      <c r="L64" s="4">
        <f t="shared" ca="1" si="0"/>
        <v>14.613239930557029</v>
      </c>
    </row>
    <row r="65" spans="1:12" x14ac:dyDescent="0.2">
      <c r="A65" s="2" t="s">
        <v>119</v>
      </c>
      <c r="B65" s="3">
        <v>46207.368055555555</v>
      </c>
      <c r="C65" s="2" t="s">
        <v>12</v>
      </c>
      <c r="D65" s="2" t="s">
        <v>120</v>
      </c>
      <c r="E65" s="2">
        <v>3</v>
      </c>
      <c r="F65" s="2">
        <v>1500</v>
      </c>
      <c r="G65" s="2">
        <v>0</v>
      </c>
      <c r="H65" s="2">
        <v>1500</v>
      </c>
      <c r="I65" s="2">
        <v>45</v>
      </c>
      <c r="J65" s="2" t="s">
        <v>14</v>
      </c>
      <c r="K65" s="2">
        <f>VLOOKUP(A:A,[1]XuanStockQAResults!$A:$C,3,0)</f>
        <v>1500</v>
      </c>
      <c r="L65" s="4">
        <f t="shared" ca="1" si="0"/>
        <v>41.581295486110321</v>
      </c>
    </row>
    <row r="66" spans="1:12" x14ac:dyDescent="0.2">
      <c r="A66" s="2" t="s">
        <v>121</v>
      </c>
      <c r="B66" s="3">
        <v>46240.64166666667</v>
      </c>
      <c r="C66" s="2" t="s">
        <v>12</v>
      </c>
      <c r="D66" s="2" t="s">
        <v>122</v>
      </c>
      <c r="E66" s="2">
        <v>1</v>
      </c>
      <c r="F66" s="2">
        <v>200</v>
      </c>
      <c r="G66" s="2">
        <v>0</v>
      </c>
      <c r="H66" s="2">
        <v>200</v>
      </c>
      <c r="I66" s="2">
        <v>16</v>
      </c>
      <c r="J66" s="2" t="s">
        <v>14</v>
      </c>
      <c r="K66" s="2">
        <f>VLOOKUP(A:A,[1]XuanStockQAResults!$A:$C,3,0)</f>
        <v>200</v>
      </c>
      <c r="L66" s="4">
        <f t="shared" ca="1" si="0"/>
        <v>8.3076843749950058</v>
      </c>
    </row>
    <row r="67" spans="1:12" x14ac:dyDescent="0.2">
      <c r="A67" s="2" t="s">
        <v>123</v>
      </c>
      <c r="B67" s="3">
        <v>46207.369444444441</v>
      </c>
      <c r="C67" s="2" t="s">
        <v>12</v>
      </c>
      <c r="D67" s="2" t="s">
        <v>124</v>
      </c>
      <c r="E67" s="2">
        <v>1</v>
      </c>
      <c r="F67" s="2">
        <v>336</v>
      </c>
      <c r="G67" s="2">
        <v>0</v>
      </c>
      <c r="H67" s="2">
        <v>336</v>
      </c>
      <c r="I67" s="2">
        <v>21</v>
      </c>
      <c r="J67" s="2" t="s">
        <v>14</v>
      </c>
      <c r="K67" s="2">
        <f>VLOOKUP(A:A,[1]XuanStockQAResults!$A:$C,3,0)</f>
        <v>336</v>
      </c>
      <c r="L67" s="4">
        <f t="shared" ref="L67:L130" ca="1" si="1">NOW()-B67</f>
        <v>41.579906597224181</v>
      </c>
    </row>
    <row r="68" spans="1:12" x14ac:dyDescent="0.2">
      <c r="A68" s="2" t="s">
        <v>125</v>
      </c>
      <c r="B68" s="3">
        <v>46226.693749999999</v>
      </c>
      <c r="C68" s="2" t="s">
        <v>12</v>
      </c>
      <c r="D68" s="2" t="s">
        <v>126</v>
      </c>
      <c r="E68" s="2">
        <v>1</v>
      </c>
      <c r="F68" s="2">
        <v>50</v>
      </c>
      <c r="G68" s="2">
        <v>0</v>
      </c>
      <c r="H68" s="2">
        <v>50</v>
      </c>
      <c r="I68" s="2">
        <v>5</v>
      </c>
      <c r="J68" s="2" t="s">
        <v>14</v>
      </c>
      <c r="K68" s="2">
        <f>VLOOKUP(A:A,[1]XuanStockQAResults!$A:$C,3,0)</f>
        <v>50</v>
      </c>
      <c r="L68" s="4">
        <f t="shared" ca="1" si="1"/>
        <v>22.255601041666523</v>
      </c>
    </row>
    <row r="69" spans="1:12" x14ac:dyDescent="0.2">
      <c r="A69" s="2" t="s">
        <v>127</v>
      </c>
      <c r="B69" s="3">
        <v>46226.693749999999</v>
      </c>
      <c r="C69" s="2" t="s">
        <v>12</v>
      </c>
      <c r="D69" s="2" t="s">
        <v>126</v>
      </c>
      <c r="E69" s="2">
        <v>2</v>
      </c>
      <c r="F69" s="2">
        <v>50</v>
      </c>
      <c r="G69" s="2">
        <v>0</v>
      </c>
      <c r="H69" s="2">
        <v>50</v>
      </c>
      <c r="I69" s="2">
        <v>5</v>
      </c>
      <c r="J69" s="2" t="s">
        <v>14</v>
      </c>
      <c r="K69" s="2">
        <f>VLOOKUP(A:A,[1]XuanStockQAResults!$A:$C,3,0)</f>
        <v>50</v>
      </c>
      <c r="L69" s="4">
        <f t="shared" ca="1" si="1"/>
        <v>22.255601041666523</v>
      </c>
    </row>
    <row r="70" spans="1:12" x14ac:dyDescent="0.2">
      <c r="A70" s="2" t="s">
        <v>128</v>
      </c>
      <c r="B70" s="3">
        <v>46223.32708333333</v>
      </c>
      <c r="C70" s="2" t="s">
        <v>12</v>
      </c>
      <c r="D70" s="2" t="s">
        <v>129</v>
      </c>
      <c r="E70" s="2">
        <v>1</v>
      </c>
      <c r="F70" s="2">
        <v>980</v>
      </c>
      <c r="G70" s="2">
        <v>0</v>
      </c>
      <c r="H70" s="2">
        <v>980</v>
      </c>
      <c r="I70" s="2">
        <v>40</v>
      </c>
      <c r="J70" s="2" t="s">
        <v>14</v>
      </c>
      <c r="K70" s="2">
        <f>VLOOKUP(A:A,[1]XuanStockQAResults!$A:$C,3,0)</f>
        <v>980</v>
      </c>
      <c r="L70" s="4">
        <f t="shared" ca="1" si="1"/>
        <v>25.62226770833513</v>
      </c>
    </row>
    <row r="71" spans="1:12" x14ac:dyDescent="0.2">
      <c r="A71" s="2" t="s">
        <v>130</v>
      </c>
      <c r="B71" s="3">
        <v>46246.549305555556</v>
      </c>
      <c r="C71" s="2" t="s">
        <v>12</v>
      </c>
      <c r="D71" s="2" t="s">
        <v>131</v>
      </c>
      <c r="E71" s="2">
        <v>1</v>
      </c>
      <c r="F71" s="2">
        <v>1267</v>
      </c>
      <c r="G71" s="2">
        <v>0</v>
      </c>
      <c r="H71" s="2">
        <v>1267</v>
      </c>
      <c r="I71" s="2">
        <v>39</v>
      </c>
      <c r="J71" s="2" t="s">
        <v>14</v>
      </c>
      <c r="K71" s="2">
        <f>VLOOKUP(A:A,[1]XuanStockQAResults!$A:$C,3,0)</f>
        <v>1267</v>
      </c>
      <c r="L71" s="4">
        <f t="shared" ca="1" si="1"/>
        <v>2.4000454861088656</v>
      </c>
    </row>
    <row r="72" spans="1:12" x14ac:dyDescent="0.2">
      <c r="A72" s="2" t="s">
        <v>132</v>
      </c>
      <c r="B72" s="3">
        <v>46234.332638888889</v>
      </c>
      <c r="C72" s="2" t="s">
        <v>12</v>
      </c>
      <c r="D72" s="2" t="s">
        <v>133</v>
      </c>
      <c r="E72" s="2">
        <v>1</v>
      </c>
      <c r="F72" s="2">
        <v>294</v>
      </c>
      <c r="G72" s="2">
        <v>0</v>
      </c>
      <c r="H72" s="2">
        <v>294</v>
      </c>
      <c r="I72" s="2">
        <v>18</v>
      </c>
      <c r="J72" s="2" t="s">
        <v>14</v>
      </c>
      <c r="K72" s="2">
        <f>VLOOKUP(A:A,[1]XuanStockQAResults!$A:$C,3,0)</f>
        <v>294</v>
      </c>
      <c r="L72" s="4">
        <f t="shared" ca="1" si="1"/>
        <v>14.616712152776017</v>
      </c>
    </row>
    <row r="73" spans="1:12" x14ac:dyDescent="0.2">
      <c r="A73" s="2" t="s">
        <v>134</v>
      </c>
      <c r="B73" s="3">
        <v>46241.395138888889</v>
      </c>
      <c r="C73" s="2" t="s">
        <v>12</v>
      </c>
      <c r="D73" s="2" t="s">
        <v>135</v>
      </c>
      <c r="E73" s="2">
        <v>1</v>
      </c>
      <c r="F73" s="2">
        <v>600</v>
      </c>
      <c r="G73" s="2">
        <v>0</v>
      </c>
      <c r="H73" s="2">
        <v>600</v>
      </c>
      <c r="I73" s="2">
        <v>24</v>
      </c>
      <c r="J73" s="2" t="s">
        <v>14</v>
      </c>
      <c r="K73" s="2">
        <f>VLOOKUP(A:A,[1]XuanStockQAResults!$A:$C,3,0)</f>
        <v>600</v>
      </c>
      <c r="L73" s="4">
        <f t="shared" ca="1" si="1"/>
        <v>7.5542121527760173</v>
      </c>
    </row>
    <row r="74" spans="1:12" x14ac:dyDescent="0.2">
      <c r="A74" s="2" t="s">
        <v>136</v>
      </c>
      <c r="B74" s="3">
        <v>46246.347222222219</v>
      </c>
      <c r="C74" s="2" t="s">
        <v>12</v>
      </c>
      <c r="D74" s="2" t="s">
        <v>137</v>
      </c>
      <c r="E74" s="2">
        <v>1</v>
      </c>
      <c r="F74" s="2">
        <v>500</v>
      </c>
      <c r="G74" s="2">
        <v>0</v>
      </c>
      <c r="H74" s="2">
        <v>500</v>
      </c>
      <c r="I74" s="2">
        <v>30</v>
      </c>
      <c r="J74" s="2" t="s">
        <v>14</v>
      </c>
      <c r="K74" s="2">
        <f>VLOOKUP(A:A,[1]XuanStockQAResults!$A:$C,3,0)</f>
        <v>500</v>
      </c>
      <c r="L74" s="4">
        <f t="shared" ca="1" si="1"/>
        <v>2.6021288194460794</v>
      </c>
    </row>
    <row r="75" spans="1:12" x14ac:dyDescent="0.2">
      <c r="A75" s="2" t="s">
        <v>138</v>
      </c>
      <c r="B75" s="3">
        <v>46226.678472222222</v>
      </c>
      <c r="C75" s="2" t="s">
        <v>12</v>
      </c>
      <c r="D75" s="2" t="s">
        <v>139</v>
      </c>
      <c r="E75" s="2">
        <v>1</v>
      </c>
      <c r="F75" s="2">
        <v>250</v>
      </c>
      <c r="G75" s="2">
        <v>0</v>
      </c>
      <c r="H75" s="2">
        <v>250</v>
      </c>
      <c r="I75" s="2">
        <v>15</v>
      </c>
      <c r="J75" s="2" t="s">
        <v>14</v>
      </c>
      <c r="K75" s="2">
        <f>VLOOKUP(A:A,[1]XuanStockQAResults!$A:$C,3,0)</f>
        <v>250</v>
      </c>
      <c r="L75" s="4">
        <f t="shared" ca="1" si="1"/>
        <v>22.270878819443169</v>
      </c>
    </row>
    <row r="76" spans="1:12" x14ac:dyDescent="0.2">
      <c r="A76" s="2" t="s">
        <v>140</v>
      </c>
      <c r="B76" s="3">
        <v>46240.645833333336</v>
      </c>
      <c r="C76" s="2" t="s">
        <v>12</v>
      </c>
      <c r="D76" s="2" t="s">
        <v>84</v>
      </c>
      <c r="E76" s="2">
        <v>3</v>
      </c>
      <c r="F76" s="2">
        <v>5000</v>
      </c>
      <c r="G76" s="2">
        <v>0</v>
      </c>
      <c r="H76" s="2">
        <v>5000</v>
      </c>
      <c r="I76" s="2">
        <v>150</v>
      </c>
      <c r="J76" s="2" t="s">
        <v>14</v>
      </c>
      <c r="K76" s="2">
        <f>VLOOKUP(A:A,[1]XuanStockQAResults!$A:$C,3,0)</f>
        <v>5000</v>
      </c>
      <c r="L76" s="4">
        <f t="shared" ca="1" si="1"/>
        <v>8.3035177083293092</v>
      </c>
    </row>
    <row r="77" spans="1:12" x14ac:dyDescent="0.2">
      <c r="A77" s="2" t="s">
        <v>141</v>
      </c>
      <c r="B77" s="3">
        <v>46248.637499999997</v>
      </c>
      <c r="C77" s="2" t="s">
        <v>12</v>
      </c>
      <c r="D77" s="2" t="s">
        <v>142</v>
      </c>
      <c r="E77" s="2">
        <v>1</v>
      </c>
      <c r="F77" s="2">
        <v>713</v>
      </c>
      <c r="G77" s="2">
        <v>0</v>
      </c>
      <c r="H77" s="2">
        <v>713</v>
      </c>
      <c r="I77" s="2">
        <v>29</v>
      </c>
      <c r="J77" s="2" t="s">
        <v>14</v>
      </c>
      <c r="K77" s="2">
        <f>VLOOKUP(A:A,[1]XuanStockQAResults!$A:$C,3,0)</f>
        <v>713</v>
      </c>
      <c r="L77" s="4">
        <f t="shared" ca="1" si="1"/>
        <v>0.31185104166797828</v>
      </c>
    </row>
    <row r="78" spans="1:12" x14ac:dyDescent="0.2">
      <c r="A78" s="2" t="s">
        <v>143</v>
      </c>
      <c r="B78" s="3">
        <v>46220.314583333333</v>
      </c>
      <c r="C78" s="2" t="s">
        <v>12</v>
      </c>
      <c r="D78" s="2" t="s">
        <v>144</v>
      </c>
      <c r="E78" s="2">
        <v>1</v>
      </c>
      <c r="F78" s="2">
        <v>1500</v>
      </c>
      <c r="G78" s="2">
        <v>0</v>
      </c>
      <c r="H78" s="2">
        <v>1500</v>
      </c>
      <c r="I78" s="2">
        <v>45</v>
      </c>
      <c r="J78" s="2" t="s">
        <v>14</v>
      </c>
      <c r="K78" s="2">
        <f>VLOOKUP(A:A,[1]XuanStockQAResults!$A:$C,3,0)</f>
        <v>1500</v>
      </c>
      <c r="L78" s="4">
        <f t="shared" ca="1" si="1"/>
        <v>28.63476770833222</v>
      </c>
    </row>
    <row r="79" spans="1:12" x14ac:dyDescent="0.2">
      <c r="A79" s="2" t="s">
        <v>145</v>
      </c>
      <c r="B79" s="3">
        <v>46214.31527777778</v>
      </c>
      <c r="C79" s="2" t="s">
        <v>12</v>
      </c>
      <c r="D79" s="2" t="s">
        <v>146</v>
      </c>
      <c r="E79" s="2">
        <v>3</v>
      </c>
      <c r="F79" s="2">
        <v>200</v>
      </c>
      <c r="G79" s="2">
        <v>0</v>
      </c>
      <c r="H79" s="2">
        <v>200</v>
      </c>
      <c r="I79" s="2">
        <v>16</v>
      </c>
      <c r="J79" s="2" t="s">
        <v>14</v>
      </c>
      <c r="K79" s="2">
        <f>VLOOKUP(A:A,[1]XuanStockQAResults!$A:$C,3,0)</f>
        <v>200</v>
      </c>
      <c r="L79" s="4">
        <f t="shared" ca="1" si="1"/>
        <v>34.634073263885512</v>
      </c>
    </row>
    <row r="80" spans="1:12" x14ac:dyDescent="0.2">
      <c r="A80" s="2" t="s">
        <v>147</v>
      </c>
      <c r="B80" s="3">
        <v>46206.369444444441</v>
      </c>
      <c r="C80" s="2" t="s">
        <v>12</v>
      </c>
      <c r="D80" s="2" t="s">
        <v>149</v>
      </c>
      <c r="E80" s="2">
        <v>1</v>
      </c>
      <c r="F80" s="2">
        <v>100</v>
      </c>
      <c r="G80" s="2">
        <v>0</v>
      </c>
      <c r="H80" s="2">
        <v>100</v>
      </c>
      <c r="I80" s="2">
        <v>10</v>
      </c>
      <c r="J80" s="2" t="s">
        <v>14</v>
      </c>
      <c r="K80" s="2">
        <f>VLOOKUP(A:A,[1]XuanStockQAResults!$A:$C,3,0)</f>
        <v>244</v>
      </c>
      <c r="L80" s="4">
        <f t="shared" ca="1" si="1"/>
        <v>42.579906597224181</v>
      </c>
    </row>
    <row r="81" spans="1:12" x14ac:dyDescent="0.2">
      <c r="A81" s="2" t="s">
        <v>147</v>
      </c>
      <c r="B81" s="3">
        <v>46241.642361111109</v>
      </c>
      <c r="C81" s="2" t="s">
        <v>12</v>
      </c>
      <c r="D81" s="2" t="s">
        <v>150</v>
      </c>
      <c r="E81" s="2">
        <v>6</v>
      </c>
      <c r="F81" s="2">
        <v>144</v>
      </c>
      <c r="G81" s="2">
        <v>0</v>
      </c>
      <c r="H81" s="2">
        <v>144</v>
      </c>
      <c r="I81" s="2">
        <v>12</v>
      </c>
      <c r="J81" s="2" t="s">
        <v>14</v>
      </c>
      <c r="K81" s="2">
        <f>VLOOKUP(A:A,[1]XuanStockQAResults!$A:$C,3,0)</f>
        <v>244</v>
      </c>
      <c r="L81" s="4">
        <f t="shared" ca="1" si="1"/>
        <v>7.3069899305555737</v>
      </c>
    </row>
    <row r="82" spans="1:12" x14ac:dyDescent="0.2">
      <c r="A82" s="2" t="s">
        <v>151</v>
      </c>
      <c r="B82" s="3">
        <v>46241.64166666667</v>
      </c>
      <c r="C82" s="2" t="s">
        <v>12</v>
      </c>
      <c r="D82" s="2" t="s">
        <v>152</v>
      </c>
      <c r="E82" s="2">
        <v>1</v>
      </c>
      <c r="F82" s="2">
        <v>31</v>
      </c>
      <c r="G82" s="2">
        <v>0</v>
      </c>
      <c r="H82" s="2">
        <v>31</v>
      </c>
      <c r="I82" s="2">
        <v>4</v>
      </c>
      <c r="J82" s="2" t="s">
        <v>14</v>
      </c>
      <c r="K82" s="2">
        <f>VLOOKUP(A:A,[1]XuanStockQAResults!$A:$C,3,0)</f>
        <v>131</v>
      </c>
      <c r="L82" s="4">
        <f t="shared" ca="1" si="1"/>
        <v>7.3076843749950058</v>
      </c>
    </row>
    <row r="83" spans="1:12" x14ac:dyDescent="0.2">
      <c r="A83" s="2" t="s">
        <v>151</v>
      </c>
      <c r="B83" s="3">
        <v>46241.642361111109</v>
      </c>
      <c r="C83" s="2" t="s">
        <v>12</v>
      </c>
      <c r="D83" s="2" t="s">
        <v>153</v>
      </c>
      <c r="E83" s="2">
        <v>1</v>
      </c>
      <c r="F83" s="2">
        <v>50</v>
      </c>
      <c r="G83" s="2">
        <v>0</v>
      </c>
      <c r="H83" s="2">
        <v>50</v>
      </c>
      <c r="I83" s="2">
        <v>5</v>
      </c>
      <c r="J83" s="2" t="s">
        <v>14</v>
      </c>
      <c r="K83" s="2">
        <f>VLOOKUP(A:A,[1]XuanStockQAResults!$A:$C,3,0)</f>
        <v>131</v>
      </c>
      <c r="L83" s="4">
        <f t="shared" ca="1" si="1"/>
        <v>7.3069899305555737</v>
      </c>
    </row>
    <row r="84" spans="1:12" x14ac:dyDescent="0.2">
      <c r="A84" s="2" t="s">
        <v>151</v>
      </c>
      <c r="B84" s="3">
        <v>46241.642361111109</v>
      </c>
      <c r="C84" s="2" t="s">
        <v>12</v>
      </c>
      <c r="D84" s="2" t="s">
        <v>154</v>
      </c>
      <c r="E84" s="2">
        <v>1</v>
      </c>
      <c r="F84" s="2">
        <v>50</v>
      </c>
      <c r="G84" s="2">
        <v>0</v>
      </c>
      <c r="H84" s="2">
        <v>50</v>
      </c>
      <c r="I84" s="2">
        <v>5</v>
      </c>
      <c r="J84" s="2" t="s">
        <v>14</v>
      </c>
      <c r="K84" s="2">
        <f>VLOOKUP(A:A,[1]XuanStockQAResults!$A:$C,3,0)</f>
        <v>131</v>
      </c>
      <c r="L84" s="4">
        <f t="shared" ca="1" si="1"/>
        <v>7.3069899305555737</v>
      </c>
    </row>
    <row r="85" spans="1:12" x14ac:dyDescent="0.2">
      <c r="A85" s="2" t="s">
        <v>155</v>
      </c>
      <c r="B85" s="3">
        <v>46232.665972222225</v>
      </c>
      <c r="C85" s="2" t="s">
        <v>12</v>
      </c>
      <c r="D85" s="2" t="s">
        <v>156</v>
      </c>
      <c r="E85" s="2">
        <v>1</v>
      </c>
      <c r="F85" s="2">
        <v>96</v>
      </c>
      <c r="G85" s="2">
        <v>0</v>
      </c>
      <c r="H85" s="2">
        <v>96</v>
      </c>
      <c r="I85" s="2">
        <v>10</v>
      </c>
      <c r="J85" s="2" t="s">
        <v>14</v>
      </c>
      <c r="K85" s="2">
        <f>VLOOKUP(A:A,[1]XuanStockQAResults!$A:$C,3,0)</f>
        <v>96</v>
      </c>
      <c r="L85" s="4">
        <f t="shared" ca="1" si="1"/>
        <v>16.283378819440259</v>
      </c>
    </row>
    <row r="86" spans="1:12" x14ac:dyDescent="0.2">
      <c r="A86" s="2" t="s">
        <v>157</v>
      </c>
      <c r="B86" s="3">
        <v>46234.332638888889</v>
      </c>
      <c r="C86" s="2" t="s">
        <v>12</v>
      </c>
      <c r="D86" s="2" t="s">
        <v>133</v>
      </c>
      <c r="E86" s="2">
        <v>2</v>
      </c>
      <c r="F86" s="2">
        <v>2200</v>
      </c>
      <c r="G86" s="2">
        <v>0</v>
      </c>
      <c r="H86" s="2">
        <v>2200</v>
      </c>
      <c r="I86" s="2">
        <v>66</v>
      </c>
      <c r="J86" s="2" t="s">
        <v>14</v>
      </c>
      <c r="K86" s="2">
        <f>VLOOKUP(A:A,[1]XuanStockQAResults!$A:$C,3,0)</f>
        <v>2200</v>
      </c>
      <c r="L86" s="4">
        <f t="shared" ca="1" si="1"/>
        <v>14.616712152776017</v>
      </c>
    </row>
    <row r="87" spans="1:12" x14ac:dyDescent="0.2">
      <c r="A87" s="2" t="s">
        <v>158</v>
      </c>
      <c r="B87" s="3">
        <v>46246.359027777777</v>
      </c>
      <c r="C87" s="2" t="s">
        <v>12</v>
      </c>
      <c r="D87" s="2" t="s">
        <v>159</v>
      </c>
      <c r="E87" s="2">
        <v>1</v>
      </c>
      <c r="F87" s="2">
        <v>300</v>
      </c>
      <c r="G87" s="2">
        <v>0</v>
      </c>
      <c r="H87" s="2">
        <v>300</v>
      </c>
      <c r="I87" s="2">
        <v>18</v>
      </c>
      <c r="J87" s="2" t="s">
        <v>14</v>
      </c>
      <c r="K87" s="2">
        <f>VLOOKUP(A:A,[1]XuanStockQAResults!$A:$C,3,0)</f>
        <v>300</v>
      </c>
      <c r="L87" s="4">
        <f t="shared" ca="1" si="1"/>
        <v>2.5903232638884219</v>
      </c>
    </row>
    <row r="88" spans="1:12" x14ac:dyDescent="0.2">
      <c r="A88" s="2" t="s">
        <v>160</v>
      </c>
      <c r="B88" s="3">
        <v>46214.449305555558</v>
      </c>
      <c r="C88" s="2" t="s">
        <v>12</v>
      </c>
      <c r="D88" s="2" t="s">
        <v>161</v>
      </c>
      <c r="E88" s="2">
        <v>2</v>
      </c>
      <c r="F88" s="2">
        <v>210</v>
      </c>
      <c r="G88" s="2">
        <v>0</v>
      </c>
      <c r="H88" s="2">
        <v>210</v>
      </c>
      <c r="I88" s="2">
        <v>13</v>
      </c>
      <c r="J88" s="2" t="s">
        <v>14</v>
      </c>
      <c r="K88" s="2">
        <f>VLOOKUP(A:A,[1]XuanStockQAResults!$A:$C,3,0)</f>
        <v>210</v>
      </c>
      <c r="L88" s="4">
        <f t="shared" ca="1" si="1"/>
        <v>34.50004548610741</v>
      </c>
    </row>
    <row r="89" spans="1:12" x14ac:dyDescent="0.2">
      <c r="A89" s="2" t="s">
        <v>162</v>
      </c>
      <c r="B89" s="3">
        <v>46214.449305555558</v>
      </c>
      <c r="C89" s="2" t="s">
        <v>12</v>
      </c>
      <c r="D89" s="2" t="s">
        <v>161</v>
      </c>
      <c r="E89" s="2">
        <v>3</v>
      </c>
      <c r="F89" s="2">
        <v>200</v>
      </c>
      <c r="G89" s="2">
        <v>0</v>
      </c>
      <c r="H89" s="2">
        <v>200</v>
      </c>
      <c r="I89" s="2">
        <v>16</v>
      </c>
      <c r="J89" s="2" t="s">
        <v>14</v>
      </c>
      <c r="K89" s="2">
        <f>VLOOKUP(A:A,[1]XuanStockQAResults!$A:$C,3,0)</f>
        <v>200</v>
      </c>
      <c r="L89" s="4">
        <f t="shared" ca="1" si="1"/>
        <v>34.50004548610741</v>
      </c>
    </row>
    <row r="90" spans="1:12" x14ac:dyDescent="0.2">
      <c r="A90" s="2" t="s">
        <v>163</v>
      </c>
      <c r="B90" s="3">
        <v>46248.60833333333</v>
      </c>
      <c r="C90" s="2" t="s">
        <v>12</v>
      </c>
      <c r="D90" s="2" t="s">
        <v>164</v>
      </c>
      <c r="E90" s="2">
        <v>1</v>
      </c>
      <c r="F90" s="2">
        <v>700</v>
      </c>
      <c r="G90" s="2">
        <v>0</v>
      </c>
      <c r="H90" s="2">
        <v>700</v>
      </c>
      <c r="I90" s="2">
        <v>28</v>
      </c>
      <c r="J90" s="2" t="s">
        <v>14</v>
      </c>
      <c r="K90" s="2">
        <f>VLOOKUP(A:A,[1]XuanStockQAResults!$A:$C,3,0)</f>
        <v>700</v>
      </c>
      <c r="L90" s="4">
        <f t="shared" ca="1" si="1"/>
        <v>0.34101770833513001</v>
      </c>
    </row>
    <row r="91" spans="1:12" x14ac:dyDescent="0.2">
      <c r="A91" s="2" t="s">
        <v>165</v>
      </c>
      <c r="B91" s="3">
        <v>46247.398611111108</v>
      </c>
      <c r="C91" s="2" t="s">
        <v>12</v>
      </c>
      <c r="D91" s="2" t="s">
        <v>166</v>
      </c>
      <c r="E91" s="2">
        <v>1</v>
      </c>
      <c r="F91" s="2">
        <v>1200</v>
      </c>
      <c r="G91" s="2">
        <v>0</v>
      </c>
      <c r="H91" s="2">
        <v>1200</v>
      </c>
      <c r="I91" s="2">
        <v>36</v>
      </c>
      <c r="J91" s="2" t="s">
        <v>14</v>
      </c>
      <c r="K91" s="2">
        <f>VLOOKUP(A:A,[1]XuanStockQAResults!$A:$C,3,0)</f>
        <v>1200</v>
      </c>
      <c r="L91" s="4">
        <f t="shared" ca="1" si="1"/>
        <v>1.5507399305570289</v>
      </c>
    </row>
    <row r="92" spans="1:12" x14ac:dyDescent="0.2">
      <c r="A92" s="2" t="s">
        <v>167</v>
      </c>
      <c r="B92" s="3">
        <v>46226.632638888892</v>
      </c>
      <c r="C92" s="2" t="s">
        <v>12</v>
      </c>
      <c r="D92" s="2" t="s">
        <v>168</v>
      </c>
      <c r="E92" s="2">
        <v>1</v>
      </c>
      <c r="F92" s="2">
        <v>109</v>
      </c>
      <c r="G92" s="2">
        <v>0</v>
      </c>
      <c r="H92" s="2">
        <v>109</v>
      </c>
      <c r="I92" s="2">
        <v>9</v>
      </c>
      <c r="J92" s="2" t="s">
        <v>14</v>
      </c>
      <c r="K92" s="2">
        <f>VLOOKUP(A:A,[1]XuanStockQAResults!$A:$C,3,0)</f>
        <v>109</v>
      </c>
      <c r="L92" s="4">
        <f t="shared" ca="1" si="1"/>
        <v>22.316712152773107</v>
      </c>
    </row>
    <row r="93" spans="1:12" x14ac:dyDescent="0.2">
      <c r="A93" s="2" t="s">
        <v>169</v>
      </c>
      <c r="B93" s="3">
        <v>46248.640277777777</v>
      </c>
      <c r="C93" s="2" t="s">
        <v>12</v>
      </c>
      <c r="D93" s="2" t="s">
        <v>170</v>
      </c>
      <c r="E93" s="2">
        <v>1</v>
      </c>
      <c r="F93" s="2">
        <v>200</v>
      </c>
      <c r="G93" s="2">
        <v>0</v>
      </c>
      <c r="H93" s="2">
        <v>200</v>
      </c>
      <c r="I93" s="2">
        <v>16</v>
      </c>
      <c r="J93" s="2" t="s">
        <v>14</v>
      </c>
      <c r="K93" s="2">
        <f>VLOOKUP(A:A,[1]XuanStockQAResults!$A:$C,3,0)</f>
        <v>200</v>
      </c>
      <c r="L93" s="4">
        <f t="shared" ca="1" si="1"/>
        <v>0.30907326388842193</v>
      </c>
    </row>
    <row r="94" spans="1:12" x14ac:dyDescent="0.2">
      <c r="A94" s="2" t="s">
        <v>171</v>
      </c>
      <c r="B94" s="3">
        <v>46207.352777777778</v>
      </c>
      <c r="C94" s="2" t="s">
        <v>12</v>
      </c>
      <c r="D94" s="2" t="s">
        <v>172</v>
      </c>
      <c r="E94" s="2">
        <v>1</v>
      </c>
      <c r="F94" s="2">
        <v>40</v>
      </c>
      <c r="G94" s="2">
        <v>0</v>
      </c>
      <c r="H94" s="2">
        <v>40</v>
      </c>
      <c r="I94" s="2">
        <v>4</v>
      </c>
      <c r="J94" s="2" t="s">
        <v>14</v>
      </c>
      <c r="K94" s="2">
        <f>VLOOKUP(A:A,[1]XuanStockQAResults!$A:$C,3,0)</f>
        <v>40</v>
      </c>
      <c r="L94" s="4">
        <f t="shared" ca="1" si="1"/>
        <v>41.596573263886967</v>
      </c>
    </row>
    <row r="95" spans="1:12" x14ac:dyDescent="0.2">
      <c r="A95" s="2" t="s">
        <v>173</v>
      </c>
      <c r="B95" s="3">
        <v>46237.581250000003</v>
      </c>
      <c r="C95" s="2" t="s">
        <v>12</v>
      </c>
      <c r="D95" s="2" t="s">
        <v>174</v>
      </c>
      <c r="E95" s="2">
        <v>2</v>
      </c>
      <c r="F95" s="2">
        <v>5</v>
      </c>
      <c r="G95" s="2">
        <v>0</v>
      </c>
      <c r="H95" s="2">
        <v>5</v>
      </c>
      <c r="I95" s="2">
        <v>5</v>
      </c>
      <c r="J95" s="2" t="s">
        <v>14</v>
      </c>
      <c r="K95" s="2">
        <f>VLOOKUP(A:A,[1]XuanStockQAResults!$A:$C,3,0)</f>
        <v>5</v>
      </c>
      <c r="L95" s="4">
        <f t="shared" ca="1" si="1"/>
        <v>11.368101041662158</v>
      </c>
    </row>
    <row r="96" spans="1:12" x14ac:dyDescent="0.2">
      <c r="A96" s="2" t="s">
        <v>175</v>
      </c>
      <c r="B96" s="3">
        <v>46237.581250000003</v>
      </c>
      <c r="C96" s="2" t="s">
        <v>12</v>
      </c>
      <c r="D96" s="2" t="s">
        <v>174</v>
      </c>
      <c r="E96" s="2">
        <v>1</v>
      </c>
      <c r="F96" s="2">
        <v>5</v>
      </c>
      <c r="G96" s="2">
        <v>0</v>
      </c>
      <c r="H96" s="2">
        <v>5</v>
      </c>
      <c r="I96" s="2">
        <v>5</v>
      </c>
      <c r="J96" s="2" t="s">
        <v>14</v>
      </c>
      <c r="K96" s="2">
        <f>VLOOKUP(A:A,[1]XuanStockQAResults!$A:$C,3,0)</f>
        <v>5</v>
      </c>
      <c r="L96" s="4">
        <f t="shared" ca="1" si="1"/>
        <v>11.368101041662158</v>
      </c>
    </row>
    <row r="97" spans="1:12" x14ac:dyDescent="0.2">
      <c r="A97" s="2" t="s">
        <v>176</v>
      </c>
      <c r="B97" s="3">
        <v>46246.368750000001</v>
      </c>
      <c r="C97" s="2" t="s">
        <v>12</v>
      </c>
      <c r="D97" s="2" t="s">
        <v>177</v>
      </c>
      <c r="E97" s="2">
        <v>1</v>
      </c>
      <c r="F97" s="2">
        <v>5</v>
      </c>
      <c r="G97" s="2">
        <v>0</v>
      </c>
      <c r="H97" s="2">
        <v>5</v>
      </c>
      <c r="I97" s="2">
        <v>5</v>
      </c>
      <c r="J97" s="2" t="s">
        <v>14</v>
      </c>
      <c r="K97" s="2">
        <f>VLOOKUP(A:A,[1]XuanStockQAResults!$A:$C,3,0)</f>
        <v>5</v>
      </c>
      <c r="L97" s="4">
        <f t="shared" ca="1" si="1"/>
        <v>2.5806010416636127</v>
      </c>
    </row>
    <row r="98" spans="1:12" x14ac:dyDescent="0.2">
      <c r="A98" s="2" t="s">
        <v>178</v>
      </c>
      <c r="B98" s="3">
        <v>46246.368750000001</v>
      </c>
      <c r="C98" s="2" t="s">
        <v>12</v>
      </c>
      <c r="D98" s="2" t="s">
        <v>179</v>
      </c>
      <c r="E98" s="2">
        <v>1</v>
      </c>
      <c r="F98" s="2">
        <v>5</v>
      </c>
      <c r="G98" s="2">
        <v>0</v>
      </c>
      <c r="H98" s="2">
        <v>5</v>
      </c>
      <c r="I98" s="2">
        <v>5</v>
      </c>
      <c r="J98" s="2" t="s">
        <v>14</v>
      </c>
      <c r="K98" s="2">
        <f>VLOOKUP(A:A,[1]XuanStockQAResults!$A:$C,3,0)</f>
        <v>5</v>
      </c>
      <c r="L98" s="4">
        <f t="shared" ca="1" si="1"/>
        <v>2.5806010416636127</v>
      </c>
    </row>
    <row r="99" spans="1:12" x14ac:dyDescent="0.2">
      <c r="A99" s="2" t="s">
        <v>180</v>
      </c>
      <c r="B99" s="3">
        <v>46240.665277777778</v>
      </c>
      <c r="C99" s="2" t="s">
        <v>12</v>
      </c>
      <c r="D99" s="2" t="s">
        <v>181</v>
      </c>
      <c r="E99" s="2">
        <v>1</v>
      </c>
      <c r="F99" s="2">
        <v>5</v>
      </c>
      <c r="G99" s="2">
        <v>0</v>
      </c>
      <c r="H99" s="2">
        <v>5</v>
      </c>
      <c r="I99" s="2">
        <v>5</v>
      </c>
      <c r="J99" s="2" t="s">
        <v>14</v>
      </c>
      <c r="K99" s="2">
        <f>VLOOKUP(A:A,[1]XuanStockQAResults!$A:$C,3,0)</f>
        <v>5</v>
      </c>
      <c r="L99" s="4">
        <f t="shared" ca="1" si="1"/>
        <v>8.2840732638869667</v>
      </c>
    </row>
    <row r="100" spans="1:12" x14ac:dyDescent="0.2">
      <c r="A100" s="2" t="s">
        <v>182</v>
      </c>
      <c r="B100" s="3">
        <v>46246.347222222219</v>
      </c>
      <c r="C100" s="2" t="s">
        <v>12</v>
      </c>
      <c r="D100" s="2" t="s">
        <v>137</v>
      </c>
      <c r="E100" s="2">
        <v>2</v>
      </c>
      <c r="F100" s="2">
        <v>567</v>
      </c>
      <c r="G100" s="2">
        <v>0</v>
      </c>
      <c r="H100" s="2">
        <v>567</v>
      </c>
      <c r="I100" s="2">
        <v>23</v>
      </c>
      <c r="J100" s="2" t="s">
        <v>14</v>
      </c>
      <c r="K100" s="2">
        <f>VLOOKUP(A:A,[1]XuanStockQAResults!$A:$C,3,0)</f>
        <v>567</v>
      </c>
      <c r="L100" s="4">
        <f t="shared" ca="1" si="1"/>
        <v>2.6021288194460794</v>
      </c>
    </row>
    <row r="101" spans="1:12" x14ac:dyDescent="0.2">
      <c r="A101" s="2" t="s">
        <v>183</v>
      </c>
      <c r="B101" s="3">
        <v>46246.369444444441</v>
      </c>
      <c r="C101" s="2" t="s">
        <v>10</v>
      </c>
      <c r="D101" s="2" t="s">
        <v>184</v>
      </c>
      <c r="E101" s="2">
        <v>1</v>
      </c>
      <c r="F101" s="2">
        <v>5</v>
      </c>
      <c r="G101" s="2">
        <v>0</v>
      </c>
      <c r="H101" s="2">
        <v>5</v>
      </c>
      <c r="I101" s="2">
        <v>5</v>
      </c>
      <c r="J101" s="2" t="s">
        <v>14</v>
      </c>
      <c r="K101" s="2">
        <f>VLOOKUP(A:A,[1]XuanStockQAResults!$A:$C,3,0)</f>
        <v>5</v>
      </c>
      <c r="L101" s="4">
        <f t="shared" ca="1" si="1"/>
        <v>2.5799065972241806</v>
      </c>
    </row>
    <row r="102" spans="1:12" x14ac:dyDescent="0.2">
      <c r="A102" s="2" t="s">
        <v>185</v>
      </c>
      <c r="B102" s="3">
        <v>46230.431944444441</v>
      </c>
      <c r="C102" s="2" t="s">
        <v>12</v>
      </c>
      <c r="D102" s="2" t="s">
        <v>186</v>
      </c>
      <c r="E102" s="2">
        <v>1</v>
      </c>
      <c r="F102" s="2">
        <v>105</v>
      </c>
      <c r="G102" s="2">
        <v>0</v>
      </c>
      <c r="H102" s="2">
        <v>105</v>
      </c>
      <c r="I102" s="2">
        <v>9</v>
      </c>
      <c r="J102" s="2" t="s">
        <v>14</v>
      </c>
      <c r="K102" s="2">
        <f>VLOOKUP(A:A,[1]XuanStockQAResults!$A:$C,3,0)</f>
        <v>315</v>
      </c>
      <c r="L102" s="4">
        <f t="shared" ca="1" si="1"/>
        <v>18.517406597224181</v>
      </c>
    </row>
    <row r="103" spans="1:12" x14ac:dyDescent="0.2">
      <c r="A103" s="2" t="s">
        <v>187</v>
      </c>
      <c r="B103" s="3">
        <v>46226.572222222225</v>
      </c>
      <c r="C103" s="2" t="s">
        <v>12</v>
      </c>
      <c r="D103" s="2" t="s">
        <v>188</v>
      </c>
      <c r="E103" s="2">
        <v>2</v>
      </c>
      <c r="F103" s="2">
        <v>250</v>
      </c>
      <c r="G103" s="2">
        <v>0</v>
      </c>
      <c r="H103" s="2">
        <v>250</v>
      </c>
      <c r="I103" s="2">
        <v>15</v>
      </c>
      <c r="J103" s="2" t="s">
        <v>14</v>
      </c>
      <c r="K103" s="2">
        <f>VLOOKUP(A:A,[1]XuanStockQAResults!$A:$C,3,0)</f>
        <v>250</v>
      </c>
      <c r="L103" s="4">
        <f t="shared" ca="1" si="1"/>
        <v>22.377128819440259</v>
      </c>
    </row>
    <row r="104" spans="1:12" x14ac:dyDescent="0.2">
      <c r="A104" s="2" t="s">
        <v>189</v>
      </c>
      <c r="B104" s="3">
        <v>46246.546527777777</v>
      </c>
      <c r="C104" s="2" t="s">
        <v>12</v>
      </c>
      <c r="D104" s="2" t="s">
        <v>190</v>
      </c>
      <c r="E104" s="2">
        <v>1</v>
      </c>
      <c r="F104" s="2">
        <v>832</v>
      </c>
      <c r="G104" s="2">
        <v>0</v>
      </c>
      <c r="H104" s="2">
        <v>832</v>
      </c>
      <c r="I104" s="2">
        <v>34</v>
      </c>
      <c r="J104" s="2" t="s">
        <v>14</v>
      </c>
      <c r="K104" s="2">
        <f>VLOOKUP(A:A,[1]XuanStockQAResults!$A:$C,3,0)</f>
        <v>832</v>
      </c>
      <c r="L104" s="4">
        <f t="shared" ca="1" si="1"/>
        <v>2.4028232638884219</v>
      </c>
    </row>
    <row r="105" spans="1:12" x14ac:dyDescent="0.2">
      <c r="A105" s="2" t="s">
        <v>191</v>
      </c>
      <c r="B105" s="3">
        <v>46241.553472222222</v>
      </c>
      <c r="C105" s="2" t="s">
        <v>10</v>
      </c>
      <c r="D105" s="2" t="s">
        <v>192</v>
      </c>
      <c r="E105" s="2">
        <v>1</v>
      </c>
      <c r="F105" s="2">
        <v>5</v>
      </c>
      <c r="G105" s="2">
        <v>0</v>
      </c>
      <c r="H105" s="2">
        <v>5</v>
      </c>
      <c r="I105" s="2">
        <v>5</v>
      </c>
      <c r="J105" s="2" t="s">
        <v>14</v>
      </c>
      <c r="K105" s="2">
        <f>VLOOKUP(A:A,[1]XuanStockQAResults!$A:$C,3,0)</f>
        <v>5</v>
      </c>
      <c r="L105" s="4">
        <f t="shared" ca="1" si="1"/>
        <v>7.395878819443169</v>
      </c>
    </row>
    <row r="106" spans="1:12" x14ac:dyDescent="0.2">
      <c r="A106" s="2" t="s">
        <v>193</v>
      </c>
      <c r="B106" s="3">
        <v>46232.31527777778</v>
      </c>
      <c r="C106" s="2" t="s">
        <v>12</v>
      </c>
      <c r="D106" s="2" t="s">
        <v>194</v>
      </c>
      <c r="E106" s="2">
        <v>1</v>
      </c>
      <c r="F106" s="2">
        <v>183</v>
      </c>
      <c r="G106" s="2">
        <v>0</v>
      </c>
      <c r="H106" s="2">
        <v>183</v>
      </c>
      <c r="I106" s="2">
        <v>15</v>
      </c>
      <c r="J106" s="2" t="s">
        <v>14</v>
      </c>
      <c r="K106" s="2">
        <f>VLOOKUP(A:A,[1]XuanStockQAResults!$A:$C,3,0)</f>
        <v>200</v>
      </c>
      <c r="L106" s="4">
        <f t="shared" ca="1" si="1"/>
        <v>16.634073263885512</v>
      </c>
    </row>
    <row r="107" spans="1:12" x14ac:dyDescent="0.2">
      <c r="A107" s="2" t="s">
        <v>193</v>
      </c>
      <c r="B107" s="3">
        <v>46246.399305555555</v>
      </c>
      <c r="C107" s="2" t="s">
        <v>12</v>
      </c>
      <c r="D107" s="2" t="s">
        <v>195</v>
      </c>
      <c r="E107" s="2">
        <v>1</v>
      </c>
      <c r="F107" s="2">
        <v>17</v>
      </c>
      <c r="G107" s="2">
        <v>0</v>
      </c>
      <c r="H107" s="2">
        <v>17</v>
      </c>
      <c r="I107" s="2">
        <v>17</v>
      </c>
      <c r="J107" s="2" t="s">
        <v>17</v>
      </c>
      <c r="K107" s="2">
        <f>VLOOKUP(A:A,[1]XuanStockQAResults!$A:$C,3,0)</f>
        <v>200</v>
      </c>
      <c r="L107" s="4">
        <f t="shared" ca="1" si="1"/>
        <v>2.5500454861103208</v>
      </c>
    </row>
    <row r="108" spans="1:12" x14ac:dyDescent="0.2">
      <c r="A108" s="2" t="s">
        <v>196</v>
      </c>
      <c r="B108" s="3">
        <v>46238.568749999999</v>
      </c>
      <c r="C108" s="2" t="s">
        <v>12</v>
      </c>
      <c r="D108" s="2" t="s">
        <v>19</v>
      </c>
      <c r="E108" s="2">
        <v>3</v>
      </c>
      <c r="F108" s="2">
        <v>1000</v>
      </c>
      <c r="G108" s="2">
        <v>0</v>
      </c>
      <c r="H108" s="2">
        <v>1000</v>
      </c>
      <c r="I108" s="2">
        <v>40</v>
      </c>
      <c r="J108" s="2" t="s">
        <v>14</v>
      </c>
      <c r="K108" s="2">
        <f>VLOOKUP(A:A,[1]XuanStockQAResults!$A:$C,3,0)</f>
        <v>1000</v>
      </c>
      <c r="L108" s="4">
        <f t="shared" ca="1" si="1"/>
        <v>10.380601041666523</v>
      </c>
    </row>
    <row r="109" spans="1:12" x14ac:dyDescent="0.2">
      <c r="A109" s="2" t="s">
        <v>197</v>
      </c>
      <c r="B109" s="3">
        <v>46238.419444444444</v>
      </c>
      <c r="C109" s="2" t="s">
        <v>12</v>
      </c>
      <c r="D109" s="2" t="s">
        <v>198</v>
      </c>
      <c r="E109" s="2">
        <v>2</v>
      </c>
      <c r="F109" s="2">
        <v>1000</v>
      </c>
      <c r="G109" s="2">
        <v>0</v>
      </c>
      <c r="H109" s="2">
        <v>1000</v>
      </c>
      <c r="I109" s="2">
        <v>40</v>
      </c>
      <c r="J109" s="2" t="s">
        <v>14</v>
      </c>
      <c r="K109" s="2">
        <f>VLOOKUP(A:A,[1]XuanStockQAResults!$A:$C,3,0)</f>
        <v>2000</v>
      </c>
      <c r="L109" s="4">
        <f t="shared" ca="1" si="1"/>
        <v>10.52990659722127</v>
      </c>
    </row>
    <row r="110" spans="1:12" x14ac:dyDescent="0.2">
      <c r="A110" s="2" t="s">
        <v>197</v>
      </c>
      <c r="B110" s="3">
        <v>46238.568749999999</v>
      </c>
      <c r="C110" s="2" t="s">
        <v>12</v>
      </c>
      <c r="D110" s="2" t="s">
        <v>19</v>
      </c>
      <c r="E110" s="2">
        <v>4</v>
      </c>
      <c r="F110" s="2">
        <v>1000</v>
      </c>
      <c r="G110" s="2">
        <v>0</v>
      </c>
      <c r="H110" s="2">
        <v>1000</v>
      </c>
      <c r="I110" s="2">
        <v>40</v>
      </c>
      <c r="J110" s="2" t="s">
        <v>14</v>
      </c>
      <c r="K110" s="2">
        <f>VLOOKUP(A:A,[1]XuanStockQAResults!$A:$C,3,0)</f>
        <v>2000</v>
      </c>
      <c r="L110" s="4">
        <f t="shared" ca="1" si="1"/>
        <v>10.380601041666523</v>
      </c>
    </row>
    <row r="111" spans="1:12" x14ac:dyDescent="0.2">
      <c r="A111" s="2" t="s">
        <v>199</v>
      </c>
      <c r="B111" s="3">
        <v>46248.64166666667</v>
      </c>
      <c r="C111" s="2" t="s">
        <v>12</v>
      </c>
      <c r="D111" s="2" t="s">
        <v>200</v>
      </c>
      <c r="E111" s="2">
        <v>1</v>
      </c>
      <c r="F111" s="2">
        <v>199</v>
      </c>
      <c r="G111" s="2">
        <v>0</v>
      </c>
      <c r="H111" s="2">
        <v>199</v>
      </c>
      <c r="I111" s="2">
        <v>16</v>
      </c>
      <c r="J111" s="2" t="s">
        <v>14</v>
      </c>
      <c r="K111" s="2">
        <f>VLOOKUP(A:A,[1]XuanStockQAResults!$A:$C,3,0)</f>
        <v>199</v>
      </c>
      <c r="L111" s="4">
        <f t="shared" ca="1" si="1"/>
        <v>0.30768437499500578</v>
      </c>
    </row>
    <row r="112" spans="1:12" x14ac:dyDescent="0.2">
      <c r="A112" s="2" t="s">
        <v>201</v>
      </c>
      <c r="B112" s="3">
        <v>46237.435416666667</v>
      </c>
      <c r="C112" s="2" t="s">
        <v>12</v>
      </c>
      <c r="D112" s="2" t="s">
        <v>202</v>
      </c>
      <c r="E112" s="2">
        <v>1</v>
      </c>
      <c r="F112" s="2">
        <v>102</v>
      </c>
      <c r="G112" s="2">
        <v>0</v>
      </c>
      <c r="H112" s="2">
        <v>102</v>
      </c>
      <c r="I112" s="2">
        <v>9</v>
      </c>
      <c r="J112" s="2" t="s">
        <v>14</v>
      </c>
      <c r="K112" s="2">
        <f>VLOOKUP(A:A,[1]XuanStockQAResults!$A:$C,3,0)</f>
        <v>102</v>
      </c>
      <c r="L112" s="4">
        <f t="shared" ca="1" si="1"/>
        <v>11.513934374997916</v>
      </c>
    </row>
    <row r="113" spans="1:12" x14ac:dyDescent="0.2">
      <c r="A113" s="2" t="s">
        <v>203</v>
      </c>
      <c r="B113" s="3">
        <v>46247.693749999999</v>
      </c>
      <c r="C113" s="2" t="s">
        <v>10</v>
      </c>
      <c r="D113" s="2" t="s">
        <v>204</v>
      </c>
      <c r="E113" s="2">
        <v>1</v>
      </c>
      <c r="F113" s="2">
        <v>50</v>
      </c>
      <c r="G113" s="2">
        <v>0</v>
      </c>
      <c r="H113" s="2">
        <v>50</v>
      </c>
      <c r="I113" s="2">
        <v>50</v>
      </c>
      <c r="J113" s="2" t="s">
        <v>17</v>
      </c>
      <c r="K113" s="2">
        <f>VLOOKUP(A:A,[1]XuanStockQAResults!$A:$C,3,0)</f>
        <v>50</v>
      </c>
      <c r="L113" s="4">
        <f t="shared" ca="1" si="1"/>
        <v>1.2556010416665231</v>
      </c>
    </row>
    <row r="114" spans="1:12" x14ac:dyDescent="0.2">
      <c r="A114" s="2" t="s">
        <v>205</v>
      </c>
      <c r="B114" s="3">
        <v>46247.693749999999</v>
      </c>
      <c r="C114" s="2" t="s">
        <v>10</v>
      </c>
      <c r="D114" s="2" t="s">
        <v>206</v>
      </c>
      <c r="E114" s="2">
        <v>1</v>
      </c>
      <c r="F114" s="2">
        <v>50</v>
      </c>
      <c r="G114" s="2">
        <v>0</v>
      </c>
      <c r="H114" s="2">
        <v>50</v>
      </c>
      <c r="I114" s="2">
        <v>50</v>
      </c>
      <c r="J114" s="2" t="s">
        <v>17</v>
      </c>
      <c r="K114" s="2">
        <f>VLOOKUP(A:A,[1]XuanStockQAResults!$A:$C,3,0)</f>
        <v>50</v>
      </c>
      <c r="L114" s="4">
        <f t="shared" ca="1" si="1"/>
        <v>1.2556010416665231</v>
      </c>
    </row>
    <row r="115" spans="1:12" x14ac:dyDescent="0.2">
      <c r="A115" s="2" t="s">
        <v>207</v>
      </c>
      <c r="B115" s="3">
        <v>46238.419444444444</v>
      </c>
      <c r="C115" s="2" t="s">
        <v>12</v>
      </c>
      <c r="D115" s="2" t="s">
        <v>198</v>
      </c>
      <c r="E115" s="2">
        <v>9</v>
      </c>
      <c r="F115" s="2">
        <v>100</v>
      </c>
      <c r="G115" s="2">
        <v>0</v>
      </c>
      <c r="H115" s="2">
        <v>100</v>
      </c>
      <c r="I115" s="2">
        <v>10</v>
      </c>
      <c r="J115" s="2" t="s">
        <v>14</v>
      </c>
      <c r="K115" s="2">
        <f>VLOOKUP(A:A,[1]XuanStockQAResults!$A:$C,3,0)</f>
        <v>350</v>
      </c>
      <c r="L115" s="4">
        <f t="shared" ca="1" si="1"/>
        <v>10.52990659722127</v>
      </c>
    </row>
    <row r="116" spans="1:12" x14ac:dyDescent="0.2">
      <c r="A116" s="2" t="s">
        <v>207</v>
      </c>
      <c r="B116" s="3">
        <v>46238.568749999999</v>
      </c>
      <c r="C116" s="2" t="s">
        <v>12</v>
      </c>
      <c r="D116" s="2" t="s">
        <v>19</v>
      </c>
      <c r="E116" s="2">
        <v>7</v>
      </c>
      <c r="F116" s="2">
        <v>50</v>
      </c>
      <c r="G116" s="2">
        <v>0</v>
      </c>
      <c r="H116" s="2">
        <v>50</v>
      </c>
      <c r="I116" s="2">
        <v>5</v>
      </c>
      <c r="J116" s="2" t="s">
        <v>14</v>
      </c>
      <c r="K116" s="2">
        <f>VLOOKUP(A:A,[1]XuanStockQAResults!$A:$C,3,0)</f>
        <v>350</v>
      </c>
      <c r="L116" s="4">
        <f t="shared" ca="1" si="1"/>
        <v>10.380601041666523</v>
      </c>
    </row>
    <row r="117" spans="1:12" x14ac:dyDescent="0.2">
      <c r="A117" s="2" t="s">
        <v>207</v>
      </c>
      <c r="B117" s="3">
        <v>46238.568749999999</v>
      </c>
      <c r="C117" s="2" t="s">
        <v>12</v>
      </c>
      <c r="D117" s="2" t="s">
        <v>20</v>
      </c>
      <c r="E117" s="2">
        <v>7</v>
      </c>
      <c r="F117" s="2">
        <v>200</v>
      </c>
      <c r="G117" s="2">
        <v>0</v>
      </c>
      <c r="H117" s="2">
        <v>200</v>
      </c>
      <c r="I117" s="2">
        <v>16</v>
      </c>
      <c r="J117" s="2" t="s">
        <v>14</v>
      </c>
      <c r="K117" s="2">
        <f>VLOOKUP(A:A,[1]XuanStockQAResults!$A:$C,3,0)</f>
        <v>350</v>
      </c>
      <c r="L117" s="4">
        <f t="shared" ca="1" si="1"/>
        <v>10.380601041666523</v>
      </c>
    </row>
    <row r="118" spans="1:12" x14ac:dyDescent="0.2">
      <c r="A118" s="2" t="s">
        <v>208</v>
      </c>
      <c r="B118" s="3">
        <v>46238.568749999999</v>
      </c>
      <c r="C118" s="2" t="s">
        <v>12</v>
      </c>
      <c r="D118" s="2" t="s">
        <v>19</v>
      </c>
      <c r="E118" s="2">
        <v>9</v>
      </c>
      <c r="F118" s="2">
        <v>200</v>
      </c>
      <c r="G118" s="2">
        <v>0</v>
      </c>
      <c r="H118" s="2">
        <v>200</v>
      </c>
      <c r="I118" s="2">
        <v>16</v>
      </c>
      <c r="J118" s="2" t="s">
        <v>14</v>
      </c>
      <c r="K118" s="2">
        <f>VLOOKUP(A:A,[1]XuanStockQAResults!$A:$C,3,0)</f>
        <v>200</v>
      </c>
      <c r="L118" s="4">
        <f t="shared" ca="1" si="1"/>
        <v>10.380601041666523</v>
      </c>
    </row>
    <row r="119" spans="1:12" x14ac:dyDescent="0.2">
      <c r="A119" s="2" t="s">
        <v>209</v>
      </c>
      <c r="B119" s="3">
        <v>46247.694444444445</v>
      </c>
      <c r="C119" s="2" t="s">
        <v>10</v>
      </c>
      <c r="D119" s="2" t="s">
        <v>210</v>
      </c>
      <c r="E119" s="2">
        <v>1</v>
      </c>
      <c r="F119" s="2">
        <v>29</v>
      </c>
      <c r="G119" s="2">
        <v>0</v>
      </c>
      <c r="H119" s="2">
        <v>29</v>
      </c>
      <c r="I119" s="2">
        <v>29</v>
      </c>
      <c r="J119" s="2" t="s">
        <v>17</v>
      </c>
      <c r="K119" s="2">
        <f>VLOOKUP(A:A,[1]XuanStockQAResults!$A:$C,3,0)</f>
        <v>33</v>
      </c>
      <c r="L119" s="4">
        <f t="shared" ca="1" si="1"/>
        <v>1.254906597219815</v>
      </c>
    </row>
    <row r="120" spans="1:12" x14ac:dyDescent="0.2">
      <c r="A120" s="2" t="s">
        <v>209</v>
      </c>
      <c r="B120" s="3">
        <v>46247.694444444445</v>
      </c>
      <c r="C120" s="2" t="s">
        <v>10</v>
      </c>
      <c r="D120" s="2" t="s">
        <v>211</v>
      </c>
      <c r="E120" s="2">
        <v>1</v>
      </c>
      <c r="F120" s="2">
        <v>4</v>
      </c>
      <c r="G120" s="2">
        <v>0</v>
      </c>
      <c r="H120" s="2">
        <v>4</v>
      </c>
      <c r="I120" s="2">
        <v>4</v>
      </c>
      <c r="J120" s="2" t="s">
        <v>17</v>
      </c>
      <c r="K120" s="2">
        <f>VLOOKUP(A:A,[1]XuanStockQAResults!$A:$C,3,0)</f>
        <v>33</v>
      </c>
      <c r="L120" s="4">
        <f t="shared" ca="1" si="1"/>
        <v>1.254906597219815</v>
      </c>
    </row>
    <row r="121" spans="1:12" x14ac:dyDescent="0.2">
      <c r="A121" s="2" t="s">
        <v>212</v>
      </c>
      <c r="B121" s="3">
        <v>46239.699305555558</v>
      </c>
      <c r="C121" s="2" t="s">
        <v>10</v>
      </c>
      <c r="D121" s="2" t="s">
        <v>213</v>
      </c>
      <c r="E121" s="2">
        <v>1</v>
      </c>
      <c r="F121" s="2">
        <v>85</v>
      </c>
      <c r="G121" s="2">
        <v>0</v>
      </c>
      <c r="H121" s="2">
        <v>85</v>
      </c>
      <c r="I121" s="2">
        <v>85</v>
      </c>
      <c r="J121" s="2" t="s">
        <v>17</v>
      </c>
      <c r="K121" s="2">
        <f>VLOOKUP(A:A,[1]XuanStockQAResults!$A:$C,3,0)</f>
        <v>85</v>
      </c>
      <c r="L121" s="4">
        <f t="shared" ca="1" si="1"/>
        <v>9.2500454861074104</v>
      </c>
    </row>
    <row r="122" spans="1:12" x14ac:dyDescent="0.2">
      <c r="A122" s="2" t="s">
        <v>214</v>
      </c>
      <c r="B122" s="3">
        <v>46230.388194444444</v>
      </c>
      <c r="C122" s="2" t="s">
        <v>10</v>
      </c>
      <c r="D122" s="2" t="s">
        <v>215</v>
      </c>
      <c r="E122" s="2">
        <v>1</v>
      </c>
      <c r="F122" s="2">
        <v>31</v>
      </c>
      <c r="G122" s="2">
        <v>0</v>
      </c>
      <c r="H122" s="2">
        <v>31</v>
      </c>
      <c r="I122" s="2">
        <v>4</v>
      </c>
      <c r="J122" s="2" t="s">
        <v>14</v>
      </c>
      <c r="K122" s="2">
        <f>VLOOKUP(A:A,[1]XuanStockQAResults!$A:$C,3,0)</f>
        <v>36</v>
      </c>
      <c r="L122" s="4">
        <f t="shared" ca="1" si="1"/>
        <v>18.56115659722127</v>
      </c>
    </row>
    <row r="123" spans="1:12" x14ac:dyDescent="0.2">
      <c r="A123" s="2" t="s">
        <v>216</v>
      </c>
      <c r="B123" s="3">
        <v>46240.65902777778</v>
      </c>
      <c r="C123" s="2" t="s">
        <v>10</v>
      </c>
      <c r="D123" s="2" t="s">
        <v>217</v>
      </c>
      <c r="E123" s="2">
        <v>1</v>
      </c>
      <c r="F123" s="2">
        <v>20</v>
      </c>
      <c r="G123" s="2">
        <v>0</v>
      </c>
      <c r="H123" s="2">
        <v>20</v>
      </c>
      <c r="I123" s="2">
        <v>4</v>
      </c>
      <c r="J123" s="2" t="s">
        <v>14</v>
      </c>
      <c r="K123" s="2">
        <f>VLOOKUP(A:A,[1]XuanStockQAResults!$A:$C,3,0)</f>
        <v>20</v>
      </c>
      <c r="L123" s="4">
        <f t="shared" ca="1" si="1"/>
        <v>8.2903232638855116</v>
      </c>
    </row>
    <row r="124" spans="1:12" x14ac:dyDescent="0.2">
      <c r="A124" s="2" t="s">
        <v>218</v>
      </c>
      <c r="B124" s="3">
        <v>46248.634722222225</v>
      </c>
      <c r="C124" s="2" t="s">
        <v>12</v>
      </c>
      <c r="D124" s="2" t="s">
        <v>219</v>
      </c>
      <c r="E124" s="2">
        <v>1</v>
      </c>
      <c r="F124" s="2">
        <v>400</v>
      </c>
      <c r="G124" s="2">
        <v>0</v>
      </c>
      <c r="H124" s="2">
        <v>400</v>
      </c>
      <c r="I124" s="2">
        <v>24</v>
      </c>
      <c r="J124" s="2" t="s">
        <v>14</v>
      </c>
      <c r="K124" s="2">
        <f>VLOOKUP(A:A,[1]XuanStockQAResults!$A:$C,3,0)</f>
        <v>400</v>
      </c>
      <c r="L124" s="4">
        <f t="shared" ca="1" si="1"/>
        <v>0.31462881944025867</v>
      </c>
    </row>
    <row r="125" spans="1:12" x14ac:dyDescent="0.2">
      <c r="A125" s="2" t="s">
        <v>220</v>
      </c>
      <c r="B125" s="3">
        <v>46234.395138888889</v>
      </c>
      <c r="C125" s="2" t="s">
        <v>10</v>
      </c>
      <c r="D125" s="2" t="s">
        <v>221</v>
      </c>
      <c r="E125" s="2">
        <v>1</v>
      </c>
      <c r="F125" s="2">
        <v>3</v>
      </c>
      <c r="G125" s="2">
        <v>0</v>
      </c>
      <c r="H125" s="2">
        <v>3</v>
      </c>
      <c r="I125" s="2">
        <v>3</v>
      </c>
      <c r="J125" s="2" t="s">
        <v>17</v>
      </c>
      <c r="K125" s="2">
        <f>VLOOKUP(A:A,[1]XuanStockQAResults!$A:$C,3,0)</f>
        <v>3</v>
      </c>
      <c r="L125" s="4">
        <f t="shared" ca="1" si="1"/>
        <v>14.554212152776017</v>
      </c>
    </row>
    <row r="126" spans="1:12" x14ac:dyDescent="0.2">
      <c r="A126" s="2" t="s">
        <v>222</v>
      </c>
      <c r="B126" s="3">
        <v>46248.630555555559</v>
      </c>
      <c r="C126" s="2" t="s">
        <v>10</v>
      </c>
      <c r="D126" s="2" t="s">
        <v>223</v>
      </c>
      <c r="E126" s="2">
        <v>1</v>
      </c>
      <c r="F126" s="2">
        <v>46</v>
      </c>
      <c r="G126" s="2">
        <v>0</v>
      </c>
      <c r="H126" s="2">
        <v>46</v>
      </c>
      <c r="I126" s="2">
        <v>46</v>
      </c>
      <c r="J126" s="2" t="s">
        <v>17</v>
      </c>
      <c r="K126" s="2">
        <f>VLOOKUP(A:A,[1]XuanStockQAResults!$A:$C,3,0)</f>
        <v>46</v>
      </c>
      <c r="L126" s="4">
        <f t="shared" ca="1" si="1"/>
        <v>0.31879548610595521</v>
      </c>
    </row>
    <row r="127" spans="1:12" x14ac:dyDescent="0.2">
      <c r="A127" s="2" t="s">
        <v>224</v>
      </c>
      <c r="B127" s="3">
        <v>46247.70208333333</v>
      </c>
      <c r="C127" s="2" t="s">
        <v>10</v>
      </c>
      <c r="D127" s="2" t="s">
        <v>225</v>
      </c>
      <c r="E127" s="2">
        <v>1</v>
      </c>
      <c r="F127" s="2">
        <v>44</v>
      </c>
      <c r="G127" s="2">
        <v>0</v>
      </c>
      <c r="H127" s="2">
        <v>44</v>
      </c>
      <c r="I127" s="2">
        <v>44</v>
      </c>
      <c r="J127" s="2" t="s">
        <v>17</v>
      </c>
      <c r="K127" s="2">
        <f>VLOOKUP(A:A,[1]XuanStockQAResults!$A:$C,3,0)</f>
        <v>44</v>
      </c>
      <c r="L127" s="4">
        <f t="shared" ca="1" si="1"/>
        <v>1.24726770833513</v>
      </c>
    </row>
    <row r="128" spans="1:12" x14ac:dyDescent="0.2">
      <c r="A128" s="2" t="s">
        <v>226</v>
      </c>
      <c r="B128" s="3">
        <v>46247.631944444445</v>
      </c>
      <c r="C128" s="2" t="s">
        <v>10</v>
      </c>
      <c r="D128" s="2" t="s">
        <v>227</v>
      </c>
      <c r="E128" s="2">
        <v>1</v>
      </c>
      <c r="F128" s="2">
        <v>1</v>
      </c>
      <c r="G128" s="2">
        <v>0</v>
      </c>
      <c r="H128" s="2">
        <v>1</v>
      </c>
      <c r="I128" s="2">
        <v>1</v>
      </c>
      <c r="J128" s="2" t="s">
        <v>17</v>
      </c>
      <c r="K128" s="2">
        <f>VLOOKUP(A:A,[1]XuanStockQAResults!$A:$C,3,0)</f>
        <v>1</v>
      </c>
      <c r="L128" s="4">
        <f t="shared" ca="1" si="1"/>
        <v>1.317406597219815</v>
      </c>
    </row>
    <row r="129" spans="1:12" x14ac:dyDescent="0.2">
      <c r="A129" s="2" t="s">
        <v>228</v>
      </c>
      <c r="B129" s="3">
        <v>46248.631944444445</v>
      </c>
      <c r="C129" s="2" t="s">
        <v>10</v>
      </c>
      <c r="D129" s="2" t="s">
        <v>229</v>
      </c>
      <c r="E129" s="2">
        <v>1</v>
      </c>
      <c r="F129" s="2">
        <v>1</v>
      </c>
      <c r="G129" s="2">
        <v>0</v>
      </c>
      <c r="H129" s="2">
        <v>1</v>
      </c>
      <c r="I129" s="2">
        <v>1</v>
      </c>
      <c r="J129" s="2" t="s">
        <v>17</v>
      </c>
      <c r="K129" s="2">
        <f>VLOOKUP(A:A,[1]XuanStockQAResults!$A:$C,3,0)</f>
        <v>9</v>
      </c>
      <c r="L129" s="4">
        <f t="shared" ca="1" si="1"/>
        <v>0.31740659721981501</v>
      </c>
    </row>
    <row r="130" spans="1:12" x14ac:dyDescent="0.2">
      <c r="A130" s="2" t="s">
        <v>228</v>
      </c>
      <c r="B130" s="3">
        <v>46248.632638888892</v>
      </c>
      <c r="C130" s="2" t="s">
        <v>10</v>
      </c>
      <c r="D130" s="2" t="s">
        <v>230</v>
      </c>
      <c r="E130" s="2">
        <v>1</v>
      </c>
      <c r="F130" s="2">
        <v>8</v>
      </c>
      <c r="G130" s="2">
        <v>0</v>
      </c>
      <c r="H130" s="2">
        <v>8</v>
      </c>
      <c r="I130" s="2">
        <v>8</v>
      </c>
      <c r="J130" s="2" t="s">
        <v>17</v>
      </c>
      <c r="K130" s="2">
        <f>VLOOKUP(A:A,[1]XuanStockQAResults!$A:$C,3,0)</f>
        <v>9</v>
      </c>
      <c r="L130" s="4">
        <f t="shared" ca="1" si="1"/>
        <v>0.31671215277310694</v>
      </c>
    </row>
    <row r="131" spans="1:12" x14ac:dyDescent="0.2">
      <c r="A131" s="2" t="s">
        <v>231</v>
      </c>
      <c r="B131" s="3">
        <v>46248.632638888892</v>
      </c>
      <c r="C131" s="2" t="s">
        <v>10</v>
      </c>
      <c r="D131" s="2" t="s">
        <v>232</v>
      </c>
      <c r="E131" s="2">
        <v>1</v>
      </c>
      <c r="F131" s="2">
        <v>6</v>
      </c>
      <c r="G131" s="2">
        <v>0</v>
      </c>
      <c r="H131" s="2">
        <v>6</v>
      </c>
      <c r="I131" s="2">
        <v>6</v>
      </c>
      <c r="J131" s="2" t="s">
        <v>17</v>
      </c>
      <c r="K131" s="2">
        <f>VLOOKUP(A:A,[1]XuanStockQAResults!$A:$C,3,0)</f>
        <v>6</v>
      </c>
      <c r="L131" s="4">
        <f t="shared" ref="L131:L194" ca="1" si="2">NOW()-B131</f>
        <v>0.31671215277310694</v>
      </c>
    </row>
    <row r="132" spans="1:12" x14ac:dyDescent="0.2">
      <c r="A132" s="2" t="s">
        <v>233</v>
      </c>
      <c r="B132" s="3">
        <v>46248.633333333331</v>
      </c>
      <c r="C132" s="2" t="s">
        <v>10</v>
      </c>
      <c r="D132" s="2" t="s">
        <v>234</v>
      </c>
      <c r="E132" s="2">
        <v>1</v>
      </c>
      <c r="F132" s="2">
        <v>4</v>
      </c>
      <c r="G132" s="2">
        <v>0</v>
      </c>
      <c r="H132" s="2">
        <v>4</v>
      </c>
      <c r="I132" s="2">
        <v>4</v>
      </c>
      <c r="J132" s="2" t="s">
        <v>17</v>
      </c>
      <c r="K132" s="2">
        <f>VLOOKUP(A:A,[1]XuanStockQAResults!$A:$C,3,0)</f>
        <v>6</v>
      </c>
      <c r="L132" s="4">
        <f t="shared" ca="1" si="2"/>
        <v>0.31601770833367482</v>
      </c>
    </row>
    <row r="133" spans="1:12" x14ac:dyDescent="0.2">
      <c r="A133" s="2" t="s">
        <v>233</v>
      </c>
      <c r="B133" s="3">
        <v>46248.633333333331</v>
      </c>
      <c r="C133" s="2" t="s">
        <v>10</v>
      </c>
      <c r="D133" s="2" t="s">
        <v>235</v>
      </c>
      <c r="E133" s="2">
        <v>1</v>
      </c>
      <c r="F133" s="2">
        <v>2</v>
      </c>
      <c r="G133" s="2">
        <v>0</v>
      </c>
      <c r="H133" s="2">
        <v>2</v>
      </c>
      <c r="I133" s="2">
        <v>2</v>
      </c>
      <c r="J133" s="2" t="s">
        <v>17</v>
      </c>
      <c r="K133" s="2">
        <f>VLOOKUP(A:A,[1]XuanStockQAResults!$A:$C,3,0)</f>
        <v>6</v>
      </c>
      <c r="L133" s="4">
        <f t="shared" ca="1" si="2"/>
        <v>0.31601770833367482</v>
      </c>
    </row>
    <row r="134" spans="1:12" x14ac:dyDescent="0.2">
      <c r="A134" s="2" t="s">
        <v>236</v>
      </c>
      <c r="B134" s="3">
        <v>46246.362500000003</v>
      </c>
      <c r="C134" s="2" t="s">
        <v>12</v>
      </c>
      <c r="D134" s="2" t="s">
        <v>237</v>
      </c>
      <c r="E134" s="2">
        <v>1</v>
      </c>
      <c r="F134" s="2">
        <v>150</v>
      </c>
      <c r="G134" s="2">
        <v>0</v>
      </c>
      <c r="H134" s="2">
        <v>150</v>
      </c>
      <c r="I134" s="2">
        <v>12</v>
      </c>
      <c r="J134" s="2" t="s">
        <v>14</v>
      </c>
      <c r="K134" s="2">
        <f>VLOOKUP(A:A,[1]XuanStockQAResults!$A:$C,3,0)</f>
        <v>150</v>
      </c>
      <c r="L134" s="4">
        <f t="shared" ca="1" si="2"/>
        <v>2.5868510416621575</v>
      </c>
    </row>
    <row r="135" spans="1:12" x14ac:dyDescent="0.2">
      <c r="A135" s="2" t="s">
        <v>238</v>
      </c>
      <c r="B135" s="3">
        <v>46247.701388888891</v>
      </c>
      <c r="C135" s="2" t="s">
        <v>10</v>
      </c>
      <c r="D135" s="2" t="s">
        <v>239</v>
      </c>
      <c r="E135" s="2">
        <v>1</v>
      </c>
      <c r="F135" s="2">
        <v>3</v>
      </c>
      <c r="G135" s="2">
        <v>0</v>
      </c>
      <c r="H135" s="2">
        <v>3</v>
      </c>
      <c r="I135" s="2">
        <v>3</v>
      </c>
      <c r="J135" s="2" t="s">
        <v>17</v>
      </c>
      <c r="K135" s="2">
        <f>VLOOKUP(A:A,[1]XuanStockQAResults!$A:$C,3,0)</f>
        <v>11</v>
      </c>
      <c r="L135" s="4">
        <f t="shared" ca="1" si="2"/>
        <v>1.2479621527745621</v>
      </c>
    </row>
    <row r="136" spans="1:12" x14ac:dyDescent="0.2">
      <c r="A136" s="2" t="s">
        <v>238</v>
      </c>
      <c r="B136" s="3">
        <v>46247.701388888891</v>
      </c>
      <c r="C136" s="2" t="s">
        <v>10</v>
      </c>
      <c r="D136" s="2" t="s">
        <v>240</v>
      </c>
      <c r="E136" s="2">
        <v>1</v>
      </c>
      <c r="F136" s="2">
        <v>4</v>
      </c>
      <c r="G136" s="2">
        <v>0</v>
      </c>
      <c r="H136" s="2">
        <v>4</v>
      </c>
      <c r="I136" s="2">
        <v>4</v>
      </c>
      <c r="J136" s="2" t="s">
        <v>17</v>
      </c>
      <c r="K136" s="2">
        <f>VLOOKUP(A:A,[1]XuanStockQAResults!$A:$C,3,0)</f>
        <v>11</v>
      </c>
      <c r="L136" s="4">
        <f t="shared" ca="1" si="2"/>
        <v>1.2479621527745621</v>
      </c>
    </row>
    <row r="137" spans="1:12" x14ac:dyDescent="0.2">
      <c r="A137" s="2" t="s">
        <v>238</v>
      </c>
      <c r="B137" s="3">
        <v>46247.701388888891</v>
      </c>
      <c r="C137" s="2" t="s">
        <v>10</v>
      </c>
      <c r="D137" s="2" t="s">
        <v>241</v>
      </c>
      <c r="E137" s="2">
        <v>1</v>
      </c>
      <c r="F137" s="2">
        <v>4</v>
      </c>
      <c r="G137" s="2">
        <v>0</v>
      </c>
      <c r="H137" s="2">
        <v>4</v>
      </c>
      <c r="I137" s="2">
        <v>4</v>
      </c>
      <c r="J137" s="2" t="s">
        <v>17</v>
      </c>
      <c r="K137" s="2">
        <f>VLOOKUP(A:A,[1]XuanStockQAResults!$A:$C,3,0)</f>
        <v>11</v>
      </c>
      <c r="L137" s="4">
        <f t="shared" ca="1" si="2"/>
        <v>1.2479621527745621</v>
      </c>
    </row>
    <row r="138" spans="1:12" x14ac:dyDescent="0.2">
      <c r="A138" s="2" t="s">
        <v>242</v>
      </c>
      <c r="B138" s="3">
        <v>46247.701388888891</v>
      </c>
      <c r="C138" s="2" t="s">
        <v>10</v>
      </c>
      <c r="D138" s="2" t="s">
        <v>243</v>
      </c>
      <c r="E138" s="2">
        <v>1</v>
      </c>
      <c r="F138" s="2">
        <v>1</v>
      </c>
      <c r="G138" s="2">
        <v>0</v>
      </c>
      <c r="H138" s="2">
        <v>1</v>
      </c>
      <c r="I138" s="2">
        <v>1</v>
      </c>
      <c r="J138" s="2" t="s">
        <v>17</v>
      </c>
      <c r="K138" s="2">
        <f>VLOOKUP(A:A,[1]XuanStockQAResults!$A:$C,3,0)</f>
        <v>10</v>
      </c>
      <c r="L138" s="4">
        <f t="shared" ca="1" si="2"/>
        <v>1.2479621527745621</v>
      </c>
    </row>
    <row r="139" spans="1:12" x14ac:dyDescent="0.2">
      <c r="A139" s="2" t="s">
        <v>242</v>
      </c>
      <c r="B139" s="3">
        <v>46247.701388888891</v>
      </c>
      <c r="C139" s="2" t="s">
        <v>10</v>
      </c>
      <c r="D139" s="2" t="s">
        <v>244</v>
      </c>
      <c r="E139" s="2">
        <v>1</v>
      </c>
      <c r="F139" s="2">
        <v>3</v>
      </c>
      <c r="G139" s="2">
        <v>0</v>
      </c>
      <c r="H139" s="2">
        <v>3</v>
      </c>
      <c r="I139" s="2">
        <v>3</v>
      </c>
      <c r="J139" s="2" t="s">
        <v>17</v>
      </c>
      <c r="K139" s="2">
        <f>VLOOKUP(A:A,[1]XuanStockQAResults!$A:$C,3,0)</f>
        <v>10</v>
      </c>
      <c r="L139" s="4">
        <f t="shared" ca="1" si="2"/>
        <v>1.2479621527745621</v>
      </c>
    </row>
    <row r="140" spans="1:12" x14ac:dyDescent="0.2">
      <c r="A140" s="2" t="s">
        <v>242</v>
      </c>
      <c r="B140" s="3">
        <v>46247.701388888891</v>
      </c>
      <c r="C140" s="2" t="s">
        <v>10</v>
      </c>
      <c r="D140" s="2" t="s">
        <v>245</v>
      </c>
      <c r="E140" s="2">
        <v>1</v>
      </c>
      <c r="F140" s="2">
        <v>4</v>
      </c>
      <c r="G140" s="2">
        <v>0</v>
      </c>
      <c r="H140" s="2">
        <v>4</v>
      </c>
      <c r="I140" s="2">
        <v>4</v>
      </c>
      <c r="J140" s="2" t="s">
        <v>17</v>
      </c>
      <c r="K140" s="2">
        <f>VLOOKUP(A:A,[1]XuanStockQAResults!$A:$C,3,0)</f>
        <v>10</v>
      </c>
      <c r="L140" s="4">
        <f t="shared" ca="1" si="2"/>
        <v>1.2479621527745621</v>
      </c>
    </row>
    <row r="141" spans="1:12" x14ac:dyDescent="0.2">
      <c r="A141" s="2" t="s">
        <v>242</v>
      </c>
      <c r="B141" s="3">
        <v>46247.701388888891</v>
      </c>
      <c r="C141" s="2" t="s">
        <v>10</v>
      </c>
      <c r="D141" s="2" t="s">
        <v>246</v>
      </c>
      <c r="E141" s="2">
        <v>1</v>
      </c>
      <c r="F141" s="2">
        <v>2</v>
      </c>
      <c r="G141" s="2">
        <v>0</v>
      </c>
      <c r="H141" s="2">
        <v>2</v>
      </c>
      <c r="I141" s="2">
        <v>2</v>
      </c>
      <c r="J141" s="2" t="s">
        <v>17</v>
      </c>
      <c r="K141" s="2">
        <f>VLOOKUP(A:A,[1]XuanStockQAResults!$A:$C,3,0)</f>
        <v>10</v>
      </c>
      <c r="L141" s="4">
        <f t="shared" ca="1" si="2"/>
        <v>1.2479621527745621</v>
      </c>
    </row>
    <row r="142" spans="1:12" x14ac:dyDescent="0.2">
      <c r="A142" s="2" t="s">
        <v>247</v>
      </c>
      <c r="B142" s="3">
        <v>46248.631249999999</v>
      </c>
      <c r="C142" s="2" t="s">
        <v>10</v>
      </c>
      <c r="D142" s="2" t="s">
        <v>248</v>
      </c>
      <c r="E142" s="2">
        <v>1</v>
      </c>
      <c r="F142" s="2">
        <v>7</v>
      </c>
      <c r="G142" s="2">
        <v>0</v>
      </c>
      <c r="H142" s="2">
        <v>7</v>
      </c>
      <c r="I142" s="2">
        <v>7</v>
      </c>
      <c r="J142" s="2" t="s">
        <v>17</v>
      </c>
      <c r="K142" s="2">
        <f>VLOOKUP(A:A,[1]XuanStockQAResults!$A:$C,3,0)</f>
        <v>10</v>
      </c>
      <c r="L142" s="4">
        <f t="shared" ca="1" si="2"/>
        <v>0.31810104166652309</v>
      </c>
    </row>
    <row r="143" spans="1:12" x14ac:dyDescent="0.2">
      <c r="A143" s="2" t="s">
        <v>247</v>
      </c>
      <c r="B143" s="3">
        <v>46248.631249999999</v>
      </c>
      <c r="C143" s="2" t="s">
        <v>10</v>
      </c>
      <c r="D143" s="2" t="s">
        <v>249</v>
      </c>
      <c r="E143" s="2">
        <v>1</v>
      </c>
      <c r="F143" s="2">
        <v>2</v>
      </c>
      <c r="G143" s="2">
        <v>0</v>
      </c>
      <c r="H143" s="2">
        <v>2</v>
      </c>
      <c r="I143" s="2">
        <v>2</v>
      </c>
      <c r="J143" s="2" t="s">
        <v>17</v>
      </c>
      <c r="K143" s="2">
        <f>VLOOKUP(A:A,[1]XuanStockQAResults!$A:$C,3,0)</f>
        <v>10</v>
      </c>
      <c r="L143" s="4">
        <f t="shared" ca="1" si="2"/>
        <v>0.31810104166652309</v>
      </c>
    </row>
    <row r="144" spans="1:12" x14ac:dyDescent="0.2">
      <c r="A144" s="2" t="s">
        <v>247</v>
      </c>
      <c r="B144" s="3">
        <v>46248.631249999999</v>
      </c>
      <c r="C144" s="2" t="s">
        <v>10</v>
      </c>
      <c r="D144" s="2" t="s">
        <v>250</v>
      </c>
      <c r="E144" s="2">
        <v>1</v>
      </c>
      <c r="F144" s="2">
        <v>1</v>
      </c>
      <c r="G144" s="2">
        <v>0</v>
      </c>
      <c r="H144" s="2">
        <v>1</v>
      </c>
      <c r="I144" s="2">
        <v>1</v>
      </c>
      <c r="J144" s="2" t="s">
        <v>17</v>
      </c>
      <c r="K144" s="2">
        <f>VLOOKUP(A:A,[1]XuanStockQAResults!$A:$C,3,0)</f>
        <v>10</v>
      </c>
      <c r="L144" s="4">
        <f t="shared" ca="1" si="2"/>
        <v>0.31810104166652309</v>
      </c>
    </row>
    <row r="145" spans="1:12" x14ac:dyDescent="0.2">
      <c r="A145" s="2" t="s">
        <v>251</v>
      </c>
      <c r="B145" s="3">
        <v>46248.631944444445</v>
      </c>
      <c r="C145" s="2" t="s">
        <v>10</v>
      </c>
      <c r="D145" s="2" t="s">
        <v>252</v>
      </c>
      <c r="E145" s="2">
        <v>1</v>
      </c>
      <c r="F145" s="2">
        <v>1</v>
      </c>
      <c r="G145" s="2">
        <v>0</v>
      </c>
      <c r="H145" s="2">
        <v>1</v>
      </c>
      <c r="I145" s="2">
        <v>1</v>
      </c>
      <c r="J145" s="2" t="s">
        <v>17</v>
      </c>
      <c r="K145" s="2">
        <f>VLOOKUP(A:A,[1]XuanStockQAResults!$A:$C,3,0)</f>
        <v>12</v>
      </c>
      <c r="L145" s="4">
        <f t="shared" ca="1" si="2"/>
        <v>0.31740659721981501</v>
      </c>
    </row>
    <row r="146" spans="1:12" x14ac:dyDescent="0.2">
      <c r="A146" s="2" t="s">
        <v>251</v>
      </c>
      <c r="B146" s="3">
        <v>46248.631944444445</v>
      </c>
      <c r="C146" s="2" t="s">
        <v>10</v>
      </c>
      <c r="D146" s="2" t="s">
        <v>253</v>
      </c>
      <c r="E146" s="2">
        <v>1</v>
      </c>
      <c r="F146" s="2">
        <v>2</v>
      </c>
      <c r="G146" s="2">
        <v>0</v>
      </c>
      <c r="H146" s="2">
        <v>2</v>
      </c>
      <c r="I146" s="2">
        <v>2</v>
      </c>
      <c r="J146" s="2" t="s">
        <v>17</v>
      </c>
      <c r="K146" s="2">
        <f>VLOOKUP(A:A,[1]XuanStockQAResults!$A:$C,3,0)</f>
        <v>12</v>
      </c>
      <c r="L146" s="4">
        <f t="shared" ca="1" si="2"/>
        <v>0.31740659721981501</v>
      </c>
    </row>
    <row r="147" spans="1:12" x14ac:dyDescent="0.2">
      <c r="A147" s="2" t="s">
        <v>251</v>
      </c>
      <c r="B147" s="3">
        <v>46248.631944444445</v>
      </c>
      <c r="C147" s="2" t="s">
        <v>10</v>
      </c>
      <c r="D147" s="2" t="s">
        <v>254</v>
      </c>
      <c r="E147" s="2">
        <v>1</v>
      </c>
      <c r="F147" s="2">
        <v>8</v>
      </c>
      <c r="G147" s="2">
        <v>0</v>
      </c>
      <c r="H147" s="2">
        <v>8</v>
      </c>
      <c r="I147" s="2">
        <v>8</v>
      </c>
      <c r="J147" s="2" t="s">
        <v>17</v>
      </c>
      <c r="K147" s="2">
        <f>VLOOKUP(A:A,[1]XuanStockQAResults!$A:$C,3,0)</f>
        <v>12</v>
      </c>
      <c r="L147" s="4">
        <f t="shared" ca="1" si="2"/>
        <v>0.31740659721981501</v>
      </c>
    </row>
    <row r="148" spans="1:12" x14ac:dyDescent="0.2">
      <c r="A148" s="2" t="s">
        <v>251</v>
      </c>
      <c r="B148" s="3">
        <v>46248.631944444445</v>
      </c>
      <c r="C148" s="2" t="s">
        <v>10</v>
      </c>
      <c r="D148" s="2" t="s">
        <v>255</v>
      </c>
      <c r="E148" s="2">
        <v>1</v>
      </c>
      <c r="F148" s="2">
        <v>1</v>
      </c>
      <c r="G148" s="2">
        <v>0</v>
      </c>
      <c r="H148" s="2">
        <v>1</v>
      </c>
      <c r="I148" s="2">
        <v>1</v>
      </c>
      <c r="J148" s="2" t="s">
        <v>17</v>
      </c>
      <c r="K148" s="2">
        <f>VLOOKUP(A:A,[1]XuanStockQAResults!$A:$C,3,0)</f>
        <v>12</v>
      </c>
      <c r="L148" s="4">
        <f t="shared" ca="1" si="2"/>
        <v>0.31740659721981501</v>
      </c>
    </row>
    <row r="149" spans="1:12" x14ac:dyDescent="0.2">
      <c r="A149" s="2" t="s">
        <v>256</v>
      </c>
      <c r="B149" s="3">
        <v>46226.572222222225</v>
      </c>
      <c r="C149" s="2" t="s">
        <v>12</v>
      </c>
      <c r="D149" s="2" t="s">
        <v>188</v>
      </c>
      <c r="E149" s="2">
        <v>3</v>
      </c>
      <c r="F149" s="2">
        <v>20</v>
      </c>
      <c r="G149" s="2">
        <v>0</v>
      </c>
      <c r="H149" s="2">
        <v>20</v>
      </c>
      <c r="I149" s="2">
        <v>4</v>
      </c>
      <c r="J149" s="2" t="s">
        <v>14</v>
      </c>
      <c r="K149" s="2">
        <f>VLOOKUP(A:A,[1]XuanStockQAResults!$A:$C,3,0)</f>
        <v>20</v>
      </c>
      <c r="L149" s="4">
        <f t="shared" ca="1" si="2"/>
        <v>22.377128819440259</v>
      </c>
    </row>
    <row r="150" spans="1:12" x14ac:dyDescent="0.2">
      <c r="A150" s="2" t="s">
        <v>257</v>
      </c>
      <c r="B150" s="3">
        <v>46247.696527777778</v>
      </c>
      <c r="C150" s="2" t="s">
        <v>10</v>
      </c>
      <c r="D150" s="2" t="s">
        <v>258</v>
      </c>
      <c r="E150" s="2">
        <v>1</v>
      </c>
      <c r="F150" s="2">
        <v>6</v>
      </c>
      <c r="G150" s="2">
        <v>0</v>
      </c>
      <c r="H150" s="2">
        <v>6</v>
      </c>
      <c r="I150" s="2">
        <v>6</v>
      </c>
      <c r="J150" s="2" t="s">
        <v>17</v>
      </c>
      <c r="K150" s="2">
        <f>VLOOKUP(A:A,[1]XuanStockQAResults!$A:$C,3,0)</f>
        <v>6</v>
      </c>
      <c r="L150" s="4">
        <f t="shared" ca="1" si="2"/>
        <v>1.2528232638869667</v>
      </c>
    </row>
    <row r="151" spans="1:12" x14ac:dyDescent="0.2">
      <c r="A151" s="2" t="s">
        <v>259</v>
      </c>
      <c r="B151" s="3">
        <v>46247.695138888892</v>
      </c>
      <c r="C151" s="2" t="s">
        <v>10</v>
      </c>
      <c r="D151" s="2" t="s">
        <v>260</v>
      </c>
      <c r="E151" s="2">
        <v>1</v>
      </c>
      <c r="F151" s="2">
        <v>6</v>
      </c>
      <c r="G151" s="2">
        <v>0</v>
      </c>
      <c r="H151" s="2">
        <v>6</v>
      </c>
      <c r="I151" s="2">
        <v>6</v>
      </c>
      <c r="J151" s="2" t="s">
        <v>17</v>
      </c>
      <c r="K151" s="2">
        <f>VLOOKUP(A:A,[1]XuanStockQAResults!$A:$C,3,0)</f>
        <v>6</v>
      </c>
      <c r="L151" s="4">
        <f t="shared" ca="1" si="2"/>
        <v>1.2542121527731069</v>
      </c>
    </row>
    <row r="152" spans="1:12" x14ac:dyDescent="0.2">
      <c r="A152" s="2" t="s">
        <v>261</v>
      </c>
      <c r="B152" s="3">
        <v>46247.425000000003</v>
      </c>
      <c r="C152" s="2" t="s">
        <v>10</v>
      </c>
      <c r="D152" s="2" t="s">
        <v>262</v>
      </c>
      <c r="E152" s="2">
        <v>1</v>
      </c>
      <c r="F152" s="2">
        <v>30</v>
      </c>
      <c r="G152" s="2">
        <v>0</v>
      </c>
      <c r="H152" s="2">
        <v>30</v>
      </c>
      <c r="I152" s="2">
        <v>3</v>
      </c>
      <c r="J152" s="2" t="s">
        <v>14</v>
      </c>
      <c r="K152" s="2">
        <f>VLOOKUP(A:A,[1]XuanStockQAResults!$A:$C,3,0)</f>
        <v>30</v>
      </c>
      <c r="L152" s="4">
        <f t="shared" ca="1" si="2"/>
        <v>1.5243510416621575</v>
      </c>
    </row>
    <row r="153" spans="1:12" x14ac:dyDescent="0.2">
      <c r="A153" s="2" t="s">
        <v>263</v>
      </c>
      <c r="B153" s="3">
        <v>46221.427083333336</v>
      </c>
      <c r="C153" s="2" t="s">
        <v>10</v>
      </c>
      <c r="D153" s="2" t="s">
        <v>264</v>
      </c>
      <c r="E153" s="2">
        <v>1</v>
      </c>
      <c r="F153" s="2">
        <v>13</v>
      </c>
      <c r="G153" s="2">
        <v>0</v>
      </c>
      <c r="H153" s="2">
        <v>13</v>
      </c>
      <c r="I153" s="2">
        <v>3</v>
      </c>
      <c r="J153" s="2" t="s">
        <v>11</v>
      </c>
      <c r="K153" s="2">
        <f>VLOOKUP(A:A,[1]XuanStockQAResults!$A:$C,3,0)</f>
        <v>10</v>
      </c>
      <c r="L153" s="4">
        <f t="shared" ca="1" si="2"/>
        <v>27.522267708329309</v>
      </c>
    </row>
    <row r="154" spans="1:12" x14ac:dyDescent="0.2">
      <c r="A154" s="2" t="s">
        <v>263</v>
      </c>
      <c r="B154" s="3">
        <v>46247.525694444441</v>
      </c>
      <c r="C154" s="2" t="s">
        <v>10</v>
      </c>
      <c r="D154" s="2" t="s">
        <v>265</v>
      </c>
      <c r="E154" s="2">
        <v>1</v>
      </c>
      <c r="F154" s="2">
        <v>10</v>
      </c>
      <c r="G154" s="2">
        <v>0</v>
      </c>
      <c r="H154" s="2">
        <v>10</v>
      </c>
      <c r="I154" s="2">
        <v>5</v>
      </c>
      <c r="J154" s="2" t="s">
        <v>11</v>
      </c>
      <c r="K154" s="2">
        <f>VLOOKUP(A:A,[1]XuanStockQAResults!$A:$C,3,0)</f>
        <v>10</v>
      </c>
      <c r="L154" s="4">
        <f t="shared" ca="1" si="2"/>
        <v>1.4236565972241806</v>
      </c>
    </row>
    <row r="155" spans="1:12" x14ac:dyDescent="0.2">
      <c r="A155" s="2" t="s">
        <v>266</v>
      </c>
      <c r="B155" s="3">
        <v>46247.525694444441</v>
      </c>
      <c r="C155" s="2" t="s">
        <v>10</v>
      </c>
      <c r="D155" s="2" t="s">
        <v>265</v>
      </c>
      <c r="E155" s="2">
        <v>3</v>
      </c>
      <c r="F155" s="2">
        <v>10</v>
      </c>
      <c r="G155" s="2">
        <v>0</v>
      </c>
      <c r="H155" s="2">
        <v>10</v>
      </c>
      <c r="I155" s="2">
        <v>5</v>
      </c>
      <c r="J155" s="2" t="s">
        <v>11</v>
      </c>
      <c r="K155" s="2">
        <f>VLOOKUP(A:A,[1]XuanStockQAResults!$A:$C,3,0)</f>
        <v>10</v>
      </c>
      <c r="L155" s="4">
        <f t="shared" ca="1" si="2"/>
        <v>1.4236565972241806</v>
      </c>
    </row>
    <row r="156" spans="1:12" x14ac:dyDescent="0.2">
      <c r="A156" s="2" t="s">
        <v>267</v>
      </c>
      <c r="B156" s="3">
        <v>46230.683333333334</v>
      </c>
      <c r="C156" s="2" t="s">
        <v>12</v>
      </c>
      <c r="D156" s="2" t="s">
        <v>268</v>
      </c>
      <c r="E156" s="2">
        <v>2</v>
      </c>
      <c r="F156" s="2">
        <v>5</v>
      </c>
      <c r="G156" s="2">
        <v>4</v>
      </c>
      <c r="H156" s="2">
        <v>1</v>
      </c>
      <c r="I156" s="2">
        <v>5</v>
      </c>
      <c r="J156" s="2" t="s">
        <v>11</v>
      </c>
      <c r="K156" s="2">
        <f>VLOOKUP(A:A,[1]XuanStockQAResults!$A:$C,3,0)</f>
        <v>1</v>
      </c>
      <c r="L156" s="4">
        <f t="shared" ca="1" si="2"/>
        <v>18.266017708330764</v>
      </c>
    </row>
    <row r="157" spans="1:12" x14ac:dyDescent="0.2">
      <c r="A157" s="2" t="s">
        <v>269</v>
      </c>
      <c r="B157" s="3">
        <v>46246.370138888888</v>
      </c>
      <c r="C157" s="2" t="s">
        <v>12</v>
      </c>
      <c r="D157" s="2" t="s">
        <v>270</v>
      </c>
      <c r="E157" s="2">
        <v>1</v>
      </c>
      <c r="F157" s="2">
        <v>5</v>
      </c>
      <c r="G157" s="2">
        <v>0</v>
      </c>
      <c r="H157" s="2">
        <v>5</v>
      </c>
      <c r="I157" s="2">
        <v>5</v>
      </c>
      <c r="J157" s="2" t="s">
        <v>14</v>
      </c>
      <c r="K157" s="2">
        <f>VLOOKUP(A:A,[1]XuanStockQAResults!$A:$C,3,0)</f>
        <v>5</v>
      </c>
      <c r="L157" s="4">
        <f t="shared" ca="1" si="2"/>
        <v>2.5792121527774725</v>
      </c>
    </row>
    <row r="158" spans="1:12" x14ac:dyDescent="0.2">
      <c r="A158" s="2" t="s">
        <v>271</v>
      </c>
      <c r="B158" s="3">
        <v>46240.658333333333</v>
      </c>
      <c r="C158" s="2" t="s">
        <v>10</v>
      </c>
      <c r="D158" s="2" t="s">
        <v>272</v>
      </c>
      <c r="E158" s="2">
        <v>1</v>
      </c>
      <c r="F158" s="2">
        <v>21</v>
      </c>
      <c r="G158" s="2">
        <v>0</v>
      </c>
      <c r="H158" s="2">
        <v>21</v>
      </c>
      <c r="I158" s="2">
        <v>3</v>
      </c>
      <c r="J158" s="2" t="s">
        <v>14</v>
      </c>
      <c r="K158" s="2">
        <f>VLOOKUP(A:A,[1]XuanStockQAResults!$A:$C,3,0)</f>
        <v>21</v>
      </c>
      <c r="L158" s="4">
        <f t="shared" ca="1" si="2"/>
        <v>8.2910177083322196</v>
      </c>
    </row>
    <row r="159" spans="1:12" x14ac:dyDescent="0.2">
      <c r="A159" s="2" t="s">
        <v>273</v>
      </c>
      <c r="B159" s="3">
        <v>46247.697222222225</v>
      </c>
      <c r="C159" s="2" t="s">
        <v>10</v>
      </c>
      <c r="D159" s="2" t="s">
        <v>274</v>
      </c>
      <c r="E159" s="2">
        <v>1</v>
      </c>
      <c r="F159" s="2">
        <v>6</v>
      </c>
      <c r="G159" s="2">
        <v>0</v>
      </c>
      <c r="H159" s="2">
        <v>6</v>
      </c>
      <c r="I159" s="2">
        <v>6</v>
      </c>
      <c r="J159" s="2" t="s">
        <v>17</v>
      </c>
      <c r="K159" s="2">
        <f>VLOOKUP(A:A,[1]XuanStockQAResults!$A:$C,3,0)</f>
        <v>6</v>
      </c>
      <c r="L159" s="4">
        <f t="shared" ca="1" si="2"/>
        <v>1.2521288194402587</v>
      </c>
    </row>
    <row r="160" spans="1:12" x14ac:dyDescent="0.2">
      <c r="A160" s="2" t="s">
        <v>275</v>
      </c>
      <c r="B160" s="3">
        <v>46247.696527777778</v>
      </c>
      <c r="C160" s="2" t="s">
        <v>10</v>
      </c>
      <c r="D160" s="2" t="s">
        <v>276</v>
      </c>
      <c r="E160" s="2">
        <v>1</v>
      </c>
      <c r="F160" s="2">
        <v>1</v>
      </c>
      <c r="G160" s="2">
        <v>0</v>
      </c>
      <c r="H160" s="2">
        <v>1</v>
      </c>
      <c r="I160" s="2">
        <v>1</v>
      </c>
      <c r="J160" s="2" t="s">
        <v>17</v>
      </c>
      <c r="K160" s="2">
        <f>VLOOKUP(A:A,[1]XuanStockQAResults!$A:$C,3,0)</f>
        <v>7</v>
      </c>
      <c r="L160" s="4">
        <f t="shared" ca="1" si="2"/>
        <v>1.2528232638869667</v>
      </c>
    </row>
    <row r="161" spans="1:12" x14ac:dyDescent="0.2">
      <c r="A161" s="2" t="s">
        <v>275</v>
      </c>
      <c r="B161" s="3">
        <v>46247.696527777778</v>
      </c>
      <c r="C161" s="2" t="s">
        <v>10</v>
      </c>
      <c r="D161" s="2" t="s">
        <v>277</v>
      </c>
      <c r="E161" s="2">
        <v>1</v>
      </c>
      <c r="F161" s="2">
        <v>6</v>
      </c>
      <c r="G161" s="2">
        <v>0</v>
      </c>
      <c r="H161" s="2">
        <v>6</v>
      </c>
      <c r="I161" s="2">
        <v>6</v>
      </c>
      <c r="J161" s="2" t="s">
        <v>17</v>
      </c>
      <c r="K161" s="2">
        <f>VLOOKUP(A:A,[1]XuanStockQAResults!$A:$C,3,0)</f>
        <v>7</v>
      </c>
      <c r="L161" s="4">
        <f t="shared" ca="1" si="2"/>
        <v>1.2528232638869667</v>
      </c>
    </row>
    <row r="162" spans="1:12" x14ac:dyDescent="0.2">
      <c r="A162" s="2" t="s">
        <v>278</v>
      </c>
      <c r="B162" s="3">
        <v>46240.659722222219</v>
      </c>
      <c r="C162" s="2" t="s">
        <v>10</v>
      </c>
      <c r="D162" s="2" t="s">
        <v>279</v>
      </c>
      <c r="E162" s="2">
        <v>1</v>
      </c>
      <c r="F162" s="2">
        <v>20</v>
      </c>
      <c r="G162" s="2">
        <v>1</v>
      </c>
      <c r="H162" s="2">
        <v>19</v>
      </c>
      <c r="I162" s="2">
        <v>4</v>
      </c>
      <c r="J162" s="2" t="s">
        <v>14</v>
      </c>
      <c r="K162" s="2">
        <f>VLOOKUP(A:A,[1]XuanStockQAResults!$A:$C,3,0)</f>
        <v>19</v>
      </c>
      <c r="L162" s="4">
        <f t="shared" ca="1" si="2"/>
        <v>8.2896288194460794</v>
      </c>
    </row>
    <row r="163" spans="1:12" x14ac:dyDescent="0.2">
      <c r="A163" s="2" t="s">
        <v>280</v>
      </c>
      <c r="B163" s="3">
        <v>46247.700694444444</v>
      </c>
      <c r="C163" s="2" t="s">
        <v>10</v>
      </c>
      <c r="D163" s="2" t="s">
        <v>281</v>
      </c>
      <c r="E163" s="2">
        <v>1</v>
      </c>
      <c r="F163" s="2">
        <v>4</v>
      </c>
      <c r="G163" s="2">
        <v>0</v>
      </c>
      <c r="H163" s="2">
        <v>4</v>
      </c>
      <c r="I163" s="2">
        <v>4</v>
      </c>
      <c r="J163" s="2" t="s">
        <v>17</v>
      </c>
      <c r="K163" s="2">
        <f>VLOOKUP(A:A,[1]XuanStockQAResults!$A:$C,3,0)</f>
        <v>4</v>
      </c>
      <c r="L163" s="4">
        <f t="shared" ca="1" si="2"/>
        <v>1.2486565972212702</v>
      </c>
    </row>
    <row r="164" spans="1:12" x14ac:dyDescent="0.2">
      <c r="A164" s="2" t="s">
        <v>282</v>
      </c>
      <c r="B164" s="3">
        <v>46247.696527777778</v>
      </c>
      <c r="C164" s="2" t="s">
        <v>10</v>
      </c>
      <c r="D164" s="2" t="s">
        <v>283</v>
      </c>
      <c r="E164" s="2">
        <v>1</v>
      </c>
      <c r="F164" s="2">
        <v>3</v>
      </c>
      <c r="G164" s="2">
        <v>0</v>
      </c>
      <c r="H164" s="2">
        <v>3</v>
      </c>
      <c r="I164" s="2">
        <v>3</v>
      </c>
      <c r="J164" s="2" t="s">
        <v>17</v>
      </c>
      <c r="K164" s="2">
        <f>VLOOKUP(A:A,[1]XuanStockQAResults!$A:$C,3,0)</f>
        <v>3</v>
      </c>
      <c r="L164" s="4">
        <f t="shared" ca="1" si="2"/>
        <v>1.2528232638869667</v>
      </c>
    </row>
    <row r="165" spans="1:12" x14ac:dyDescent="0.2">
      <c r="A165" s="2" t="s">
        <v>284</v>
      </c>
      <c r="B165" s="3">
        <v>46247.696527777778</v>
      </c>
      <c r="C165" s="2" t="s">
        <v>10</v>
      </c>
      <c r="D165" s="2" t="s">
        <v>285</v>
      </c>
      <c r="E165" s="2">
        <v>1</v>
      </c>
      <c r="F165" s="2">
        <v>3</v>
      </c>
      <c r="G165" s="2">
        <v>0</v>
      </c>
      <c r="H165" s="2">
        <v>3</v>
      </c>
      <c r="I165" s="2">
        <v>3</v>
      </c>
      <c r="J165" s="2" t="s">
        <v>17</v>
      </c>
      <c r="K165" s="2">
        <f>VLOOKUP(A:A,[1]XuanStockQAResults!$A:$C,3,0)</f>
        <v>3</v>
      </c>
      <c r="L165" s="4">
        <f t="shared" ca="1" si="2"/>
        <v>1.2528232638869667</v>
      </c>
    </row>
    <row r="166" spans="1:12" x14ac:dyDescent="0.2">
      <c r="A166" s="2" t="s">
        <v>286</v>
      </c>
      <c r="B166" s="3">
        <v>46247.697222222225</v>
      </c>
      <c r="C166" s="2" t="s">
        <v>10</v>
      </c>
      <c r="D166" s="2" t="s">
        <v>287</v>
      </c>
      <c r="E166" s="2">
        <v>1</v>
      </c>
      <c r="F166" s="2">
        <v>1</v>
      </c>
      <c r="G166" s="2">
        <v>0</v>
      </c>
      <c r="H166" s="2">
        <v>1</v>
      </c>
      <c r="I166" s="2">
        <v>1</v>
      </c>
      <c r="J166" s="2" t="s">
        <v>17</v>
      </c>
      <c r="K166" s="2">
        <f>VLOOKUP(A:A,[1]XuanStockQAResults!$A:$C,3,0)</f>
        <v>1</v>
      </c>
      <c r="L166" s="4">
        <f t="shared" ca="1" si="2"/>
        <v>1.2521288194402587</v>
      </c>
    </row>
    <row r="167" spans="1:12" x14ac:dyDescent="0.2">
      <c r="A167" s="2" t="s">
        <v>288</v>
      </c>
      <c r="B167" s="3">
        <v>46247.694444444445</v>
      </c>
      <c r="C167" s="2" t="s">
        <v>10</v>
      </c>
      <c r="D167" s="2" t="s">
        <v>289</v>
      </c>
      <c r="E167" s="2">
        <v>1</v>
      </c>
      <c r="F167" s="2">
        <v>90</v>
      </c>
      <c r="G167" s="2">
        <v>0</v>
      </c>
      <c r="H167" s="2">
        <v>90</v>
      </c>
      <c r="I167" s="2">
        <v>90</v>
      </c>
      <c r="J167" s="2" t="s">
        <v>17</v>
      </c>
      <c r="K167" s="2">
        <f>VLOOKUP(A:A,[1]XuanStockQAResults!$A:$C,3,0)</f>
        <v>160</v>
      </c>
      <c r="L167" s="4">
        <f t="shared" ca="1" si="2"/>
        <v>1.254906597219815</v>
      </c>
    </row>
    <row r="168" spans="1:12" x14ac:dyDescent="0.2">
      <c r="A168" s="2" t="s">
        <v>288</v>
      </c>
      <c r="B168" s="3">
        <v>46248.634027777778</v>
      </c>
      <c r="C168" s="2" t="s">
        <v>10</v>
      </c>
      <c r="D168" s="2" t="s">
        <v>290</v>
      </c>
      <c r="E168" s="2">
        <v>1</v>
      </c>
      <c r="F168" s="2">
        <v>70</v>
      </c>
      <c r="G168" s="2">
        <v>0</v>
      </c>
      <c r="H168" s="2">
        <v>70</v>
      </c>
      <c r="I168" s="2">
        <v>70</v>
      </c>
      <c r="J168" s="2" t="s">
        <v>17</v>
      </c>
      <c r="K168" s="2">
        <f>VLOOKUP(A:A,[1]XuanStockQAResults!$A:$C,3,0)</f>
        <v>160</v>
      </c>
      <c r="L168" s="4">
        <f t="shared" ca="1" si="2"/>
        <v>0.31532326388696674</v>
      </c>
    </row>
    <row r="169" spans="1:12" x14ac:dyDescent="0.2">
      <c r="A169" s="2" t="s">
        <v>291</v>
      </c>
      <c r="B169" s="3">
        <v>46247.693749999999</v>
      </c>
      <c r="C169" s="2" t="s">
        <v>10</v>
      </c>
      <c r="D169" s="2" t="s">
        <v>292</v>
      </c>
      <c r="E169" s="2">
        <v>1</v>
      </c>
      <c r="F169" s="2">
        <v>125</v>
      </c>
      <c r="G169" s="2">
        <v>0</v>
      </c>
      <c r="H169" s="2">
        <v>125</v>
      </c>
      <c r="I169" s="2">
        <v>125</v>
      </c>
      <c r="J169" s="2" t="s">
        <v>17</v>
      </c>
      <c r="K169" s="2">
        <f>VLOOKUP(A:A,[1]XuanStockQAResults!$A:$C,3,0)</f>
        <v>125</v>
      </c>
      <c r="L169" s="4">
        <f t="shared" ca="1" si="2"/>
        <v>1.2556010416665231</v>
      </c>
    </row>
    <row r="170" spans="1:12" x14ac:dyDescent="0.2">
      <c r="A170" s="2" t="s">
        <v>293</v>
      </c>
      <c r="B170" s="3">
        <v>46205.411805555559</v>
      </c>
      <c r="C170" s="2" t="s">
        <v>12</v>
      </c>
      <c r="D170" s="2" t="s">
        <v>294</v>
      </c>
      <c r="E170" s="2">
        <v>1</v>
      </c>
      <c r="F170" s="2">
        <v>299</v>
      </c>
      <c r="G170" s="2">
        <v>0</v>
      </c>
      <c r="H170" s="2">
        <v>299</v>
      </c>
      <c r="I170" s="2">
        <v>18</v>
      </c>
      <c r="J170" s="2" t="s">
        <v>14</v>
      </c>
      <c r="K170" s="2">
        <f>VLOOKUP(A:A,[1]XuanStockQAResults!$A:$C,3,0)</f>
        <v>299</v>
      </c>
      <c r="L170" s="4">
        <f t="shared" ca="1" si="2"/>
        <v>43.537545486105955</v>
      </c>
    </row>
    <row r="171" spans="1:12" x14ac:dyDescent="0.2">
      <c r="A171" s="2" t="s">
        <v>295</v>
      </c>
      <c r="B171" s="3">
        <v>46227.535416666666</v>
      </c>
      <c r="C171" s="2" t="s">
        <v>12</v>
      </c>
      <c r="D171" s="2" t="s">
        <v>296</v>
      </c>
      <c r="E171" s="2">
        <v>1</v>
      </c>
      <c r="F171" s="2">
        <v>50</v>
      </c>
      <c r="G171" s="2">
        <v>0</v>
      </c>
      <c r="H171" s="2">
        <v>50</v>
      </c>
      <c r="I171" s="2">
        <v>5</v>
      </c>
      <c r="J171" s="2" t="s">
        <v>14</v>
      </c>
      <c r="K171" s="2">
        <f>VLOOKUP(A:A,[1]XuanStockQAResults!$A:$C,3,0)</f>
        <v>100</v>
      </c>
      <c r="L171" s="4">
        <f t="shared" ca="1" si="2"/>
        <v>21.413934374999371</v>
      </c>
    </row>
    <row r="172" spans="1:12" x14ac:dyDescent="0.2">
      <c r="A172" s="2" t="s">
        <v>295</v>
      </c>
      <c r="B172" s="3">
        <v>46247.602083333331</v>
      </c>
      <c r="C172" s="2" t="s">
        <v>12</v>
      </c>
      <c r="D172" s="2" t="s">
        <v>297</v>
      </c>
      <c r="E172" s="2">
        <v>1</v>
      </c>
      <c r="F172" s="2">
        <v>100</v>
      </c>
      <c r="G172" s="2">
        <v>0</v>
      </c>
      <c r="H172" s="2">
        <v>100</v>
      </c>
      <c r="I172" s="2">
        <v>10</v>
      </c>
      <c r="J172" s="2" t="s">
        <v>14</v>
      </c>
      <c r="K172" s="2">
        <f>VLOOKUP(A:A,[1]XuanStockQAResults!$A:$C,3,0)</f>
        <v>100</v>
      </c>
      <c r="L172" s="4">
        <f t="shared" ca="1" si="2"/>
        <v>1.3472677083336748</v>
      </c>
    </row>
    <row r="173" spans="1:12" x14ac:dyDescent="0.2">
      <c r="A173" s="2" t="s">
        <v>298</v>
      </c>
      <c r="B173" s="3">
        <v>46244.536805555559</v>
      </c>
      <c r="C173" s="2" t="s">
        <v>12</v>
      </c>
      <c r="D173" s="2" t="s">
        <v>35</v>
      </c>
      <c r="E173" s="2">
        <v>2</v>
      </c>
      <c r="F173" s="2">
        <v>100</v>
      </c>
      <c r="G173" s="2">
        <v>0</v>
      </c>
      <c r="H173" s="2">
        <v>100</v>
      </c>
      <c r="I173" s="2">
        <v>10</v>
      </c>
      <c r="J173" s="2" t="s">
        <v>14</v>
      </c>
      <c r="K173" s="2">
        <f>VLOOKUP(A:A,[1]XuanStockQAResults!$A:$C,3,0)</f>
        <v>100</v>
      </c>
      <c r="L173" s="4">
        <f t="shared" ca="1" si="2"/>
        <v>4.4125454861059552</v>
      </c>
    </row>
    <row r="174" spans="1:12" x14ac:dyDescent="0.2">
      <c r="A174" s="2" t="s">
        <v>299</v>
      </c>
      <c r="B174" s="3">
        <v>46218.334722222222</v>
      </c>
      <c r="C174" s="2" t="s">
        <v>10</v>
      </c>
      <c r="D174" s="2" t="s">
        <v>300</v>
      </c>
      <c r="E174" s="2">
        <v>1</v>
      </c>
      <c r="F174" s="2">
        <v>210</v>
      </c>
      <c r="G174" s="2">
        <v>0</v>
      </c>
      <c r="H174" s="2">
        <v>210</v>
      </c>
      <c r="I174" s="2">
        <v>13</v>
      </c>
      <c r="J174" s="2" t="s">
        <v>14</v>
      </c>
      <c r="K174" s="2">
        <f>VLOOKUP(A:A,[1]XuanStockQAResults!$A:$C,3,0)</f>
        <v>210</v>
      </c>
      <c r="L174" s="4">
        <f t="shared" ca="1" si="2"/>
        <v>30.614628819443169</v>
      </c>
    </row>
    <row r="175" spans="1:12" x14ac:dyDescent="0.2">
      <c r="A175" s="2" t="s">
        <v>301</v>
      </c>
      <c r="B175" s="3">
        <v>46233.583333333336</v>
      </c>
      <c r="C175" s="2" t="s">
        <v>12</v>
      </c>
      <c r="D175" s="2" t="s">
        <v>302</v>
      </c>
      <c r="E175" s="2">
        <v>1</v>
      </c>
      <c r="F175" s="2">
        <v>4</v>
      </c>
      <c r="G175" s="2">
        <v>0</v>
      </c>
      <c r="H175" s="2">
        <v>4</v>
      </c>
      <c r="I175" s="2">
        <v>4</v>
      </c>
      <c r="J175" s="2" t="s">
        <v>14</v>
      </c>
      <c r="K175" s="2">
        <f>VLOOKUP(A:A,[1]XuanStockQAResults!$A:$C,3,0)</f>
        <v>4</v>
      </c>
      <c r="L175" s="4">
        <f t="shared" ca="1" si="2"/>
        <v>15.366017708329309</v>
      </c>
    </row>
    <row r="176" spans="1:12" x14ac:dyDescent="0.2">
      <c r="A176" s="2" t="s">
        <v>303</v>
      </c>
      <c r="B176" s="3">
        <v>46206.369444444441</v>
      </c>
      <c r="C176" s="2" t="s">
        <v>12</v>
      </c>
      <c r="D176" s="2" t="s">
        <v>304</v>
      </c>
      <c r="E176" s="2">
        <v>1</v>
      </c>
      <c r="F176" s="2">
        <v>200</v>
      </c>
      <c r="G176" s="2">
        <v>0</v>
      </c>
      <c r="H176" s="2">
        <v>200</v>
      </c>
      <c r="I176" s="2">
        <v>16</v>
      </c>
      <c r="J176" s="2" t="s">
        <v>14</v>
      </c>
      <c r="K176" s="2">
        <f>VLOOKUP(A:A,[1]XuanStockQAResults!$A:$C,3,0)</f>
        <v>200</v>
      </c>
      <c r="L176" s="4">
        <f t="shared" ca="1" si="2"/>
        <v>42.579906597224181</v>
      </c>
    </row>
    <row r="177" spans="1:12" x14ac:dyDescent="0.2">
      <c r="A177" s="2" t="s">
        <v>305</v>
      </c>
      <c r="B177" s="3">
        <v>46246.331944444442</v>
      </c>
      <c r="C177" s="2" t="s">
        <v>12</v>
      </c>
      <c r="D177" s="2" t="s">
        <v>306</v>
      </c>
      <c r="E177" s="2">
        <v>1</v>
      </c>
      <c r="F177" s="2">
        <v>1998</v>
      </c>
      <c r="G177" s="2">
        <v>0</v>
      </c>
      <c r="H177" s="2">
        <v>1998</v>
      </c>
      <c r="I177" s="2">
        <v>60</v>
      </c>
      <c r="J177" s="2" t="s">
        <v>14</v>
      </c>
      <c r="K177" s="2">
        <f>VLOOKUP(A:A,[1]XuanStockQAResults!$A:$C,3,0)</f>
        <v>2000</v>
      </c>
      <c r="L177" s="4">
        <f t="shared" ca="1" si="2"/>
        <v>2.6174065972227254</v>
      </c>
    </row>
    <row r="178" spans="1:12" x14ac:dyDescent="0.2">
      <c r="A178" s="2" t="s">
        <v>305</v>
      </c>
      <c r="B178" s="3">
        <v>46246.331944444442</v>
      </c>
      <c r="C178" s="2" t="s">
        <v>12</v>
      </c>
      <c r="D178" s="2" t="s">
        <v>307</v>
      </c>
      <c r="E178" s="2">
        <v>1</v>
      </c>
      <c r="F178" s="2">
        <v>2</v>
      </c>
      <c r="G178" s="2">
        <v>0</v>
      </c>
      <c r="H178" s="2">
        <v>2</v>
      </c>
      <c r="I178" s="2">
        <v>2</v>
      </c>
      <c r="J178" s="2" t="s">
        <v>14</v>
      </c>
      <c r="K178" s="2">
        <f>VLOOKUP(A:A,[1]XuanStockQAResults!$A:$C,3,0)</f>
        <v>2000</v>
      </c>
      <c r="L178" s="4">
        <f t="shared" ca="1" si="2"/>
        <v>2.6174065972227254</v>
      </c>
    </row>
    <row r="179" spans="1:12" x14ac:dyDescent="0.2">
      <c r="A179" s="2" t="s">
        <v>308</v>
      </c>
      <c r="B179" s="3">
        <v>46226.572222222225</v>
      </c>
      <c r="C179" s="2" t="s">
        <v>12</v>
      </c>
      <c r="D179" s="2" t="s">
        <v>188</v>
      </c>
      <c r="E179" s="2">
        <v>4</v>
      </c>
      <c r="F179" s="2">
        <v>200</v>
      </c>
      <c r="G179" s="2">
        <v>0</v>
      </c>
      <c r="H179" s="2">
        <v>200</v>
      </c>
      <c r="I179" s="2">
        <v>16</v>
      </c>
      <c r="J179" s="2" t="s">
        <v>14</v>
      </c>
      <c r="K179" s="2">
        <f>VLOOKUP(A:A,[1]XuanStockQAResults!$A:$C,3,0)</f>
        <v>200</v>
      </c>
      <c r="L179" s="4">
        <f t="shared" ca="1" si="2"/>
        <v>22.377128819440259</v>
      </c>
    </row>
    <row r="180" spans="1:12" x14ac:dyDescent="0.2">
      <c r="A180" s="2" t="s">
        <v>309</v>
      </c>
      <c r="B180" s="3">
        <v>46233.615972222222</v>
      </c>
      <c r="C180" s="2" t="s">
        <v>12</v>
      </c>
      <c r="D180" s="2" t="s">
        <v>22</v>
      </c>
      <c r="E180" s="2">
        <v>2</v>
      </c>
      <c r="F180" s="2">
        <v>57</v>
      </c>
      <c r="G180" s="2">
        <v>0</v>
      </c>
      <c r="H180" s="2">
        <v>57</v>
      </c>
      <c r="I180" s="2">
        <v>6</v>
      </c>
      <c r="J180" s="2" t="s">
        <v>14</v>
      </c>
      <c r="K180" s="2">
        <f>VLOOKUP(A:A,[1]XuanStockQAResults!$A:$C,3,0)</f>
        <v>157</v>
      </c>
      <c r="L180" s="4">
        <f t="shared" ca="1" si="2"/>
        <v>15.333378819443169</v>
      </c>
    </row>
    <row r="181" spans="1:12" x14ac:dyDescent="0.2">
      <c r="A181" s="2" t="s">
        <v>309</v>
      </c>
      <c r="B181" s="3">
        <v>46233.615972222222</v>
      </c>
      <c r="C181" s="2" t="s">
        <v>12</v>
      </c>
      <c r="D181" s="2" t="s">
        <v>310</v>
      </c>
      <c r="E181" s="2">
        <v>1</v>
      </c>
      <c r="F181" s="2">
        <v>100</v>
      </c>
      <c r="G181" s="2">
        <v>0</v>
      </c>
      <c r="H181" s="2">
        <v>100</v>
      </c>
      <c r="I181" s="2">
        <v>10</v>
      </c>
      <c r="J181" s="2" t="s">
        <v>14</v>
      </c>
      <c r="K181" s="2">
        <f>VLOOKUP(A:A,[1]XuanStockQAResults!$A:$C,3,0)</f>
        <v>157</v>
      </c>
      <c r="L181" s="4">
        <f t="shared" ca="1" si="2"/>
        <v>15.333378819443169</v>
      </c>
    </row>
    <row r="182" spans="1:12" x14ac:dyDescent="0.2">
      <c r="A182" s="2" t="s">
        <v>311</v>
      </c>
      <c r="B182" s="3">
        <v>46210.656944444447</v>
      </c>
      <c r="C182" s="2" t="s">
        <v>12</v>
      </c>
      <c r="D182" s="2" t="s">
        <v>312</v>
      </c>
      <c r="E182" s="2">
        <v>1</v>
      </c>
      <c r="F182" s="2">
        <v>100</v>
      </c>
      <c r="G182" s="2">
        <v>0</v>
      </c>
      <c r="H182" s="2">
        <v>100</v>
      </c>
      <c r="I182" s="2">
        <v>10</v>
      </c>
      <c r="J182" s="2" t="s">
        <v>14</v>
      </c>
      <c r="K182" s="2">
        <f>VLOOKUP(A:A,[1]XuanStockQAResults!$A:$C,3,0)</f>
        <v>100</v>
      </c>
      <c r="L182" s="4">
        <f t="shared" ca="1" si="2"/>
        <v>38.29240659721836</v>
      </c>
    </row>
    <row r="183" spans="1:12" x14ac:dyDescent="0.2">
      <c r="A183" s="2" t="s">
        <v>313</v>
      </c>
      <c r="B183" s="3">
        <v>46210.656944444447</v>
      </c>
      <c r="C183" s="2" t="s">
        <v>12</v>
      </c>
      <c r="D183" s="2" t="s">
        <v>312</v>
      </c>
      <c r="E183" s="2">
        <v>2</v>
      </c>
      <c r="F183" s="2">
        <v>100</v>
      </c>
      <c r="G183" s="2">
        <v>0</v>
      </c>
      <c r="H183" s="2">
        <v>100</v>
      </c>
      <c r="I183" s="2">
        <v>10</v>
      </c>
      <c r="J183" s="2" t="s">
        <v>14</v>
      </c>
      <c r="K183" s="2">
        <f>VLOOKUP(A:A,[1]XuanStockQAResults!$A:$C,3,0)</f>
        <v>100</v>
      </c>
      <c r="L183" s="4">
        <f t="shared" ca="1" si="2"/>
        <v>38.29240659721836</v>
      </c>
    </row>
    <row r="184" spans="1:12" x14ac:dyDescent="0.2">
      <c r="A184" s="2" t="s">
        <v>314</v>
      </c>
      <c r="B184" s="3">
        <v>46232.555555555555</v>
      </c>
      <c r="C184" s="2" t="s">
        <v>12</v>
      </c>
      <c r="D184" s="2" t="s">
        <v>315</v>
      </c>
      <c r="E184" s="2">
        <v>1</v>
      </c>
      <c r="F184" s="2">
        <v>250</v>
      </c>
      <c r="G184" s="2">
        <v>0</v>
      </c>
      <c r="H184" s="2">
        <v>250</v>
      </c>
      <c r="I184" s="2">
        <v>15</v>
      </c>
      <c r="J184" s="2" t="s">
        <v>14</v>
      </c>
      <c r="K184" s="2">
        <f>VLOOKUP(A:A,[1]XuanStockQAResults!$A:$C,3,0)</f>
        <v>250</v>
      </c>
      <c r="L184" s="4">
        <f t="shared" ca="1" si="2"/>
        <v>16.393795486110321</v>
      </c>
    </row>
    <row r="185" spans="1:12" x14ac:dyDescent="0.2">
      <c r="A185" s="2" t="s">
        <v>316</v>
      </c>
      <c r="B185" s="3">
        <v>46232.555555555555</v>
      </c>
      <c r="C185" s="2" t="s">
        <v>12</v>
      </c>
      <c r="D185" s="2" t="s">
        <v>317</v>
      </c>
      <c r="E185" s="2">
        <v>1</v>
      </c>
      <c r="F185" s="2">
        <v>60</v>
      </c>
      <c r="G185" s="2">
        <v>0</v>
      </c>
      <c r="H185" s="2">
        <v>60</v>
      </c>
      <c r="I185" s="2">
        <v>6</v>
      </c>
      <c r="J185" s="2" t="s">
        <v>14</v>
      </c>
      <c r="K185" s="2">
        <f>VLOOKUP(A:A,[1]XuanStockQAResults!$A:$C,3,0)</f>
        <v>260</v>
      </c>
      <c r="L185" s="4">
        <f t="shared" ca="1" si="2"/>
        <v>16.393795486110321</v>
      </c>
    </row>
    <row r="186" spans="1:12" x14ac:dyDescent="0.2">
      <c r="A186" s="2" t="s">
        <v>316</v>
      </c>
      <c r="B186" s="3">
        <v>46232.555555555555</v>
      </c>
      <c r="C186" s="2" t="s">
        <v>12</v>
      </c>
      <c r="D186" s="2" t="s">
        <v>315</v>
      </c>
      <c r="E186" s="2">
        <v>2</v>
      </c>
      <c r="F186" s="2">
        <v>200</v>
      </c>
      <c r="G186" s="2">
        <v>0</v>
      </c>
      <c r="H186" s="2">
        <v>200</v>
      </c>
      <c r="I186" s="2">
        <v>16</v>
      </c>
      <c r="J186" s="2" t="s">
        <v>14</v>
      </c>
      <c r="K186" s="2">
        <f>VLOOKUP(A:A,[1]XuanStockQAResults!$A:$C,3,0)</f>
        <v>260</v>
      </c>
      <c r="L186" s="4">
        <f t="shared" ca="1" si="2"/>
        <v>16.393795486110321</v>
      </c>
    </row>
    <row r="187" spans="1:12" x14ac:dyDescent="0.2">
      <c r="A187" s="2" t="s">
        <v>318</v>
      </c>
      <c r="B187" s="3">
        <v>46248.53402777778</v>
      </c>
      <c r="C187" s="2" t="s">
        <v>12</v>
      </c>
      <c r="D187" s="2" t="s">
        <v>319</v>
      </c>
      <c r="E187" s="2">
        <v>1</v>
      </c>
      <c r="F187" s="2">
        <v>50</v>
      </c>
      <c r="G187" s="2">
        <v>0</v>
      </c>
      <c r="H187" s="2">
        <v>50</v>
      </c>
      <c r="I187" s="2">
        <v>5</v>
      </c>
      <c r="J187" s="2" t="s">
        <v>14</v>
      </c>
      <c r="K187" s="2">
        <f>VLOOKUP(A:A,[1]XuanStockQAResults!$A:$C,3,0)</f>
        <v>50</v>
      </c>
      <c r="L187" s="4">
        <f t="shared" ca="1" si="2"/>
        <v>0.41532326388551155</v>
      </c>
    </row>
    <row r="188" spans="1:12" x14ac:dyDescent="0.2">
      <c r="A188" s="2" t="s">
        <v>320</v>
      </c>
      <c r="B188" s="3">
        <v>46248.53402777778</v>
      </c>
      <c r="C188" s="2" t="s">
        <v>12</v>
      </c>
      <c r="D188" s="2" t="s">
        <v>321</v>
      </c>
      <c r="E188" s="2">
        <v>1</v>
      </c>
      <c r="F188" s="2">
        <v>50</v>
      </c>
      <c r="G188" s="2">
        <v>0</v>
      </c>
      <c r="H188" s="2">
        <v>50</v>
      </c>
      <c r="I188" s="2">
        <v>5</v>
      </c>
      <c r="J188" s="2" t="s">
        <v>14</v>
      </c>
      <c r="K188" s="2">
        <f>VLOOKUP(A:A,[1]XuanStockQAResults!$A:$C,3,0)</f>
        <v>50</v>
      </c>
      <c r="L188" s="4">
        <f t="shared" ca="1" si="2"/>
        <v>0.41532326388551155</v>
      </c>
    </row>
    <row r="189" spans="1:12" x14ac:dyDescent="0.2">
      <c r="A189" s="2" t="s">
        <v>322</v>
      </c>
      <c r="B189" s="3">
        <v>46241.642361111109</v>
      </c>
      <c r="C189" s="2" t="s">
        <v>12</v>
      </c>
      <c r="D189" s="2" t="s">
        <v>150</v>
      </c>
      <c r="E189" s="2">
        <v>1</v>
      </c>
      <c r="F189" s="2">
        <v>150</v>
      </c>
      <c r="G189" s="2">
        <v>0</v>
      </c>
      <c r="H189" s="2">
        <v>150</v>
      </c>
      <c r="I189" s="2">
        <v>12</v>
      </c>
      <c r="J189" s="2" t="s">
        <v>14</v>
      </c>
      <c r="K189" s="2">
        <f>VLOOKUP(A:A,[1]XuanStockQAResults!$A:$C,3,0)</f>
        <v>150</v>
      </c>
      <c r="L189" s="4">
        <f t="shared" ca="1" si="2"/>
        <v>7.3069899305555737</v>
      </c>
    </row>
    <row r="190" spans="1:12" x14ac:dyDescent="0.2">
      <c r="A190" s="2" t="s">
        <v>323</v>
      </c>
      <c r="B190" s="3">
        <v>46241.642361111109</v>
      </c>
      <c r="C190" s="2" t="s">
        <v>12</v>
      </c>
      <c r="D190" s="2" t="s">
        <v>150</v>
      </c>
      <c r="E190" s="2">
        <v>5</v>
      </c>
      <c r="F190" s="2">
        <v>178</v>
      </c>
      <c r="G190" s="2">
        <v>0</v>
      </c>
      <c r="H190" s="2">
        <v>178</v>
      </c>
      <c r="I190" s="2">
        <v>15</v>
      </c>
      <c r="J190" s="2" t="s">
        <v>14</v>
      </c>
      <c r="K190" s="2">
        <f>VLOOKUP(A:A,[1]XuanStockQAResults!$A:$C,3,0)</f>
        <v>178</v>
      </c>
      <c r="L190" s="4">
        <f t="shared" ca="1" si="2"/>
        <v>7.3069899305555737</v>
      </c>
    </row>
    <row r="191" spans="1:12" x14ac:dyDescent="0.2">
      <c r="A191" s="2" t="s">
        <v>324</v>
      </c>
      <c r="B191" s="3">
        <v>46247.602083333331</v>
      </c>
      <c r="C191" s="2" t="s">
        <v>12</v>
      </c>
      <c r="D191" s="2" t="s">
        <v>325</v>
      </c>
      <c r="E191" s="2">
        <v>1</v>
      </c>
      <c r="F191" s="2">
        <v>50</v>
      </c>
      <c r="G191" s="2">
        <v>0</v>
      </c>
      <c r="H191" s="2">
        <v>50</v>
      </c>
      <c r="I191" s="2">
        <v>5</v>
      </c>
      <c r="J191" s="2" t="s">
        <v>14</v>
      </c>
      <c r="K191" s="2">
        <f>VLOOKUP(A:A,[1]XuanStockQAResults!$A:$C,3,0)</f>
        <v>50</v>
      </c>
      <c r="L191" s="4">
        <f t="shared" ca="1" si="2"/>
        <v>1.3472677083336748</v>
      </c>
    </row>
    <row r="192" spans="1:12" x14ac:dyDescent="0.2">
      <c r="A192" s="2" t="s">
        <v>326</v>
      </c>
      <c r="B192" s="3">
        <v>46233.615972222222</v>
      </c>
      <c r="C192" s="2" t="s">
        <v>12</v>
      </c>
      <c r="D192" s="2" t="s">
        <v>327</v>
      </c>
      <c r="E192" s="2">
        <v>1</v>
      </c>
      <c r="F192" s="2">
        <v>16</v>
      </c>
      <c r="G192" s="2">
        <v>0</v>
      </c>
      <c r="H192" s="2">
        <v>16</v>
      </c>
      <c r="I192" s="2">
        <v>4</v>
      </c>
      <c r="J192" s="2" t="s">
        <v>14</v>
      </c>
      <c r="K192" s="2">
        <f>VLOOKUP(A:A,[1]XuanStockQAResults!$A:$C,3,0)</f>
        <v>50</v>
      </c>
      <c r="L192" s="4">
        <f t="shared" ca="1" si="2"/>
        <v>15.333378819443169</v>
      </c>
    </row>
    <row r="193" spans="1:12" x14ac:dyDescent="0.2">
      <c r="A193" s="2" t="s">
        <v>326</v>
      </c>
      <c r="B193" s="3">
        <v>46233.615972222222</v>
      </c>
      <c r="C193" s="2" t="s">
        <v>12</v>
      </c>
      <c r="D193" s="2" t="s">
        <v>310</v>
      </c>
      <c r="E193" s="2">
        <v>2</v>
      </c>
      <c r="F193" s="2">
        <v>34</v>
      </c>
      <c r="G193" s="2">
        <v>0</v>
      </c>
      <c r="H193" s="2">
        <v>34</v>
      </c>
      <c r="I193" s="2">
        <v>4</v>
      </c>
      <c r="J193" s="2" t="s">
        <v>14</v>
      </c>
      <c r="K193" s="2">
        <f>VLOOKUP(A:A,[1]XuanStockQAResults!$A:$C,3,0)</f>
        <v>50</v>
      </c>
      <c r="L193" s="4">
        <f t="shared" ca="1" si="2"/>
        <v>15.333378819443169</v>
      </c>
    </row>
    <row r="194" spans="1:12" x14ac:dyDescent="0.2">
      <c r="A194" s="2" t="s">
        <v>329</v>
      </c>
      <c r="B194" s="3">
        <v>46247.602083333331</v>
      </c>
      <c r="C194" s="2" t="s">
        <v>12</v>
      </c>
      <c r="D194" s="2" t="s">
        <v>330</v>
      </c>
      <c r="E194" s="2">
        <v>1</v>
      </c>
      <c r="F194" s="2">
        <v>50</v>
      </c>
      <c r="G194" s="2">
        <v>0</v>
      </c>
      <c r="H194" s="2">
        <v>50</v>
      </c>
      <c r="I194" s="2">
        <v>5</v>
      </c>
      <c r="J194" s="2" t="s">
        <v>14</v>
      </c>
      <c r="K194" s="2">
        <f>VLOOKUP(A:A,[1]XuanStockQAResults!$A:$C,3,0)</f>
        <v>50</v>
      </c>
      <c r="L194" s="4">
        <f t="shared" ca="1" si="2"/>
        <v>1.3472677083336748</v>
      </c>
    </row>
    <row r="195" spans="1:12" x14ac:dyDescent="0.2">
      <c r="A195" s="2" t="s">
        <v>331</v>
      </c>
      <c r="B195" s="3">
        <v>46247.602083333331</v>
      </c>
      <c r="C195" s="2" t="s">
        <v>12</v>
      </c>
      <c r="D195" s="2" t="s">
        <v>330</v>
      </c>
      <c r="E195" s="2">
        <v>2</v>
      </c>
      <c r="F195" s="2">
        <v>50</v>
      </c>
      <c r="G195" s="2">
        <v>0</v>
      </c>
      <c r="H195" s="2">
        <v>50</v>
      </c>
      <c r="I195" s="2">
        <v>5</v>
      </c>
      <c r="J195" s="2" t="s">
        <v>14</v>
      </c>
      <c r="K195" s="2">
        <f>VLOOKUP(A:A,[1]XuanStockQAResults!$A:$C,3,0)</f>
        <v>50</v>
      </c>
      <c r="L195" s="4">
        <f t="shared" ref="L195:L258" ca="1" si="3">NOW()-B195</f>
        <v>1.3472677083336748</v>
      </c>
    </row>
    <row r="196" spans="1:12" x14ac:dyDescent="0.2">
      <c r="A196" s="2" t="s">
        <v>332</v>
      </c>
      <c r="B196" s="3">
        <v>46233.615277777775</v>
      </c>
      <c r="C196" s="2" t="s">
        <v>12</v>
      </c>
      <c r="D196" s="2" t="s">
        <v>333</v>
      </c>
      <c r="E196" s="2">
        <v>1</v>
      </c>
      <c r="F196" s="2">
        <v>50</v>
      </c>
      <c r="G196" s="2">
        <v>0</v>
      </c>
      <c r="H196" s="2">
        <v>50</v>
      </c>
      <c r="I196" s="2">
        <v>5</v>
      </c>
      <c r="J196" s="2" t="s">
        <v>14</v>
      </c>
      <c r="K196" s="2">
        <f>VLOOKUP(A:A,[1]XuanStockQAResults!$A:$C,3,0)</f>
        <v>100</v>
      </c>
      <c r="L196" s="4">
        <f t="shared" ca="1" si="3"/>
        <v>15.334073263889877</v>
      </c>
    </row>
    <row r="197" spans="1:12" x14ac:dyDescent="0.2">
      <c r="A197" s="2" t="s">
        <v>332</v>
      </c>
      <c r="B197" s="3">
        <v>46233.615972222222</v>
      </c>
      <c r="C197" s="2" t="s">
        <v>12</v>
      </c>
      <c r="D197" s="2" t="s">
        <v>334</v>
      </c>
      <c r="E197" s="2">
        <v>1</v>
      </c>
      <c r="F197" s="2">
        <v>50</v>
      </c>
      <c r="G197" s="2">
        <v>0</v>
      </c>
      <c r="H197" s="2">
        <v>50</v>
      </c>
      <c r="I197" s="2">
        <v>5</v>
      </c>
      <c r="J197" s="2" t="s">
        <v>14</v>
      </c>
      <c r="K197" s="2">
        <f>VLOOKUP(A:A,[1]XuanStockQAResults!$A:$C,3,0)</f>
        <v>100</v>
      </c>
      <c r="L197" s="4">
        <f t="shared" ca="1" si="3"/>
        <v>15.333378819443169</v>
      </c>
    </row>
    <row r="198" spans="1:12" x14ac:dyDescent="0.2">
      <c r="A198" s="2" t="s">
        <v>335</v>
      </c>
      <c r="B198" s="3">
        <v>46233.615277777775</v>
      </c>
      <c r="C198" s="2" t="s">
        <v>12</v>
      </c>
      <c r="D198" s="2" t="s">
        <v>336</v>
      </c>
      <c r="E198" s="2">
        <v>1</v>
      </c>
      <c r="F198" s="2">
        <v>50</v>
      </c>
      <c r="G198" s="2">
        <v>0</v>
      </c>
      <c r="H198" s="2">
        <v>50</v>
      </c>
      <c r="I198" s="2">
        <v>5</v>
      </c>
      <c r="J198" s="2" t="s">
        <v>14</v>
      </c>
      <c r="K198" s="2">
        <f>VLOOKUP(A:A,[1]XuanStockQAResults!$A:$C,3,0)</f>
        <v>134</v>
      </c>
      <c r="L198" s="4">
        <f t="shared" ca="1" si="3"/>
        <v>15.334073263889877</v>
      </c>
    </row>
    <row r="199" spans="1:12" x14ac:dyDescent="0.2">
      <c r="A199" s="2" t="s">
        <v>335</v>
      </c>
      <c r="B199" s="3">
        <v>46233.615277777775</v>
      </c>
      <c r="C199" s="2" t="s">
        <v>12</v>
      </c>
      <c r="D199" s="2" t="s">
        <v>333</v>
      </c>
      <c r="E199" s="2">
        <v>2</v>
      </c>
      <c r="F199" s="2">
        <v>50</v>
      </c>
      <c r="G199" s="2">
        <v>0</v>
      </c>
      <c r="H199" s="2">
        <v>50</v>
      </c>
      <c r="I199" s="2">
        <v>5</v>
      </c>
      <c r="J199" s="2" t="s">
        <v>14</v>
      </c>
      <c r="K199" s="2">
        <f>VLOOKUP(A:A,[1]XuanStockQAResults!$A:$C,3,0)</f>
        <v>134</v>
      </c>
      <c r="L199" s="4">
        <f t="shared" ca="1" si="3"/>
        <v>15.334073263889877</v>
      </c>
    </row>
    <row r="200" spans="1:12" x14ac:dyDescent="0.2">
      <c r="A200" s="2" t="s">
        <v>335</v>
      </c>
      <c r="B200" s="3">
        <v>46233.615972222222</v>
      </c>
      <c r="C200" s="2" t="s">
        <v>12</v>
      </c>
      <c r="D200" s="2" t="s">
        <v>334</v>
      </c>
      <c r="E200" s="2">
        <v>2</v>
      </c>
      <c r="F200" s="2">
        <v>34</v>
      </c>
      <c r="G200" s="2">
        <v>0</v>
      </c>
      <c r="H200" s="2">
        <v>34</v>
      </c>
      <c r="I200" s="2">
        <v>4</v>
      </c>
      <c r="J200" s="2" t="s">
        <v>14</v>
      </c>
      <c r="K200" s="2">
        <f>VLOOKUP(A:A,[1]XuanStockQAResults!$A:$C,3,0)</f>
        <v>134</v>
      </c>
      <c r="L200" s="4">
        <f t="shared" ca="1" si="3"/>
        <v>15.333378819443169</v>
      </c>
    </row>
    <row r="201" spans="1:12" x14ac:dyDescent="0.2">
      <c r="A201" s="2" t="s">
        <v>337</v>
      </c>
      <c r="B201" s="3">
        <v>46233.615277777775</v>
      </c>
      <c r="C201" s="2" t="s">
        <v>12</v>
      </c>
      <c r="D201" s="2" t="s">
        <v>338</v>
      </c>
      <c r="E201" s="2">
        <v>2</v>
      </c>
      <c r="F201" s="2">
        <v>114</v>
      </c>
      <c r="G201" s="2">
        <v>0</v>
      </c>
      <c r="H201" s="2">
        <v>114</v>
      </c>
      <c r="I201" s="2">
        <v>10</v>
      </c>
      <c r="J201" s="2" t="s">
        <v>14</v>
      </c>
      <c r="K201" s="2">
        <f>VLOOKUP(A:A,[1]XuanStockQAResults!$A:$C,3,0)</f>
        <v>370</v>
      </c>
      <c r="L201" s="4">
        <f t="shared" ca="1" si="3"/>
        <v>15.334073263889877</v>
      </c>
    </row>
    <row r="202" spans="1:12" x14ac:dyDescent="0.2">
      <c r="A202" s="2" t="s">
        <v>337</v>
      </c>
      <c r="B202" s="3">
        <v>46233.615277777775</v>
      </c>
      <c r="C202" s="2" t="s">
        <v>12</v>
      </c>
      <c r="D202" s="2" t="s">
        <v>339</v>
      </c>
      <c r="E202" s="2">
        <v>1</v>
      </c>
      <c r="F202" s="2">
        <v>256</v>
      </c>
      <c r="G202" s="2">
        <v>0</v>
      </c>
      <c r="H202" s="2">
        <v>256</v>
      </c>
      <c r="I202" s="2">
        <v>16</v>
      </c>
      <c r="J202" s="2" t="s">
        <v>14</v>
      </c>
      <c r="K202" s="2">
        <f>VLOOKUP(A:A,[1]XuanStockQAResults!$A:$C,3,0)</f>
        <v>370</v>
      </c>
      <c r="L202" s="4">
        <f t="shared" ca="1" si="3"/>
        <v>15.334073263889877</v>
      </c>
    </row>
    <row r="203" spans="1:12" x14ac:dyDescent="0.2">
      <c r="A203" s="2" t="s">
        <v>340</v>
      </c>
      <c r="B203" s="3">
        <v>46233.615277777775</v>
      </c>
      <c r="C203" s="2" t="s">
        <v>12</v>
      </c>
      <c r="D203" s="2" t="s">
        <v>338</v>
      </c>
      <c r="E203" s="2">
        <v>1</v>
      </c>
      <c r="F203" s="2">
        <v>102</v>
      </c>
      <c r="G203" s="2">
        <v>0</v>
      </c>
      <c r="H203" s="2">
        <v>102</v>
      </c>
      <c r="I203" s="2">
        <v>9</v>
      </c>
      <c r="J203" s="2" t="s">
        <v>14</v>
      </c>
      <c r="K203" s="2">
        <f>VLOOKUP(A:A,[1]XuanStockQAResults!$A:$C,3,0)</f>
        <v>350</v>
      </c>
      <c r="L203" s="4">
        <f t="shared" ca="1" si="3"/>
        <v>15.334073263889877</v>
      </c>
    </row>
    <row r="204" spans="1:12" x14ac:dyDescent="0.2">
      <c r="A204" s="2" t="s">
        <v>340</v>
      </c>
      <c r="B204" s="3">
        <v>46233.615277777775</v>
      </c>
      <c r="C204" s="2" t="s">
        <v>12</v>
      </c>
      <c r="D204" s="2" t="s">
        <v>339</v>
      </c>
      <c r="E204" s="2">
        <v>2</v>
      </c>
      <c r="F204" s="2">
        <v>248</v>
      </c>
      <c r="G204" s="2">
        <v>0</v>
      </c>
      <c r="H204" s="2">
        <v>248</v>
      </c>
      <c r="I204" s="2">
        <v>15</v>
      </c>
      <c r="J204" s="2" t="s">
        <v>14</v>
      </c>
      <c r="K204" s="2">
        <f>VLOOKUP(A:A,[1]XuanStockQAResults!$A:$C,3,0)</f>
        <v>350</v>
      </c>
      <c r="L204" s="4">
        <f t="shared" ca="1" si="3"/>
        <v>15.334073263889877</v>
      </c>
    </row>
    <row r="205" spans="1:12" x14ac:dyDescent="0.2">
      <c r="A205" s="2" t="s">
        <v>341</v>
      </c>
      <c r="B205" s="3">
        <v>46241.642361111109</v>
      </c>
      <c r="C205" s="2" t="s">
        <v>12</v>
      </c>
      <c r="D205" s="2" t="s">
        <v>342</v>
      </c>
      <c r="E205" s="2">
        <v>1</v>
      </c>
      <c r="F205" s="2">
        <v>4</v>
      </c>
      <c r="G205" s="2">
        <v>0</v>
      </c>
      <c r="H205" s="2">
        <v>4</v>
      </c>
      <c r="I205" s="2">
        <v>4</v>
      </c>
      <c r="J205" s="2" t="s">
        <v>14</v>
      </c>
      <c r="K205" s="2">
        <f>VLOOKUP(A:A,[1]XuanStockQAResults!$A:$C,3,0)</f>
        <v>5</v>
      </c>
      <c r="L205" s="4">
        <f t="shared" ca="1" si="3"/>
        <v>7.3069899305555737</v>
      </c>
    </row>
    <row r="206" spans="1:12" x14ac:dyDescent="0.2">
      <c r="A206" s="2" t="s">
        <v>341</v>
      </c>
      <c r="B206" s="3">
        <v>46241.642361111109</v>
      </c>
      <c r="C206" s="2" t="s">
        <v>12</v>
      </c>
      <c r="D206" s="2" t="s">
        <v>343</v>
      </c>
      <c r="E206" s="2">
        <v>1</v>
      </c>
      <c r="F206" s="2">
        <v>1</v>
      </c>
      <c r="G206" s="2">
        <v>0</v>
      </c>
      <c r="H206" s="2">
        <v>1</v>
      </c>
      <c r="I206" s="2">
        <v>1</v>
      </c>
      <c r="J206" s="2" t="s">
        <v>14</v>
      </c>
      <c r="K206" s="2">
        <f>VLOOKUP(A:A,[1]XuanStockQAResults!$A:$C,3,0)</f>
        <v>5</v>
      </c>
      <c r="L206" s="4">
        <f t="shared" ca="1" si="3"/>
        <v>7.3069899305555737</v>
      </c>
    </row>
    <row r="207" spans="1:12" x14ac:dyDescent="0.2">
      <c r="A207" s="2" t="s">
        <v>344</v>
      </c>
      <c r="B207" s="3">
        <v>46206.369444444441</v>
      </c>
      <c r="C207" s="2" t="s">
        <v>12</v>
      </c>
      <c r="D207" s="2" t="s">
        <v>149</v>
      </c>
      <c r="E207" s="2">
        <v>3</v>
      </c>
      <c r="F207" s="2">
        <v>20</v>
      </c>
      <c r="G207" s="2">
        <v>0</v>
      </c>
      <c r="H207" s="2">
        <v>20</v>
      </c>
      <c r="I207" s="2">
        <v>4</v>
      </c>
      <c r="J207" s="2" t="s">
        <v>14</v>
      </c>
      <c r="K207" s="2">
        <f>VLOOKUP(A:A,[1]XuanStockQAResults!$A:$C,3,0)</f>
        <v>20</v>
      </c>
      <c r="L207" s="4">
        <f t="shared" ca="1" si="3"/>
        <v>42.579906597224181</v>
      </c>
    </row>
    <row r="208" spans="1:12" x14ac:dyDescent="0.2">
      <c r="A208" s="2" t="s">
        <v>345</v>
      </c>
      <c r="B208" s="3">
        <v>46241.64166666667</v>
      </c>
      <c r="C208" s="2" t="s">
        <v>12</v>
      </c>
      <c r="D208" s="2" t="s">
        <v>346</v>
      </c>
      <c r="E208" s="2">
        <v>1</v>
      </c>
      <c r="F208" s="2">
        <v>100</v>
      </c>
      <c r="G208" s="2">
        <v>0</v>
      </c>
      <c r="H208" s="2">
        <v>100</v>
      </c>
      <c r="I208" s="2">
        <v>10</v>
      </c>
      <c r="J208" s="2" t="s">
        <v>14</v>
      </c>
      <c r="K208" s="2">
        <f>VLOOKUP(A:A,[1]XuanStockQAResults!$A:$C,3,0)</f>
        <v>413</v>
      </c>
      <c r="L208" s="4">
        <f t="shared" ca="1" si="3"/>
        <v>7.3076843749950058</v>
      </c>
    </row>
    <row r="209" spans="1:12" x14ac:dyDescent="0.2">
      <c r="A209" s="2" t="s">
        <v>345</v>
      </c>
      <c r="B209" s="3">
        <v>46241.642361111109</v>
      </c>
      <c r="C209" s="2" t="s">
        <v>12</v>
      </c>
      <c r="D209" s="2" t="s">
        <v>347</v>
      </c>
      <c r="E209" s="2">
        <v>1</v>
      </c>
      <c r="F209" s="2">
        <v>200</v>
      </c>
      <c r="G209" s="2">
        <v>0</v>
      </c>
      <c r="H209" s="2">
        <v>200</v>
      </c>
      <c r="I209" s="2">
        <v>16</v>
      </c>
      <c r="J209" s="2" t="s">
        <v>14</v>
      </c>
      <c r="K209" s="2">
        <f>VLOOKUP(A:A,[1]XuanStockQAResults!$A:$C,3,0)</f>
        <v>413</v>
      </c>
      <c r="L209" s="4">
        <f t="shared" ca="1" si="3"/>
        <v>7.3069899305555737</v>
      </c>
    </row>
    <row r="210" spans="1:12" x14ac:dyDescent="0.2">
      <c r="A210" s="2" t="s">
        <v>345</v>
      </c>
      <c r="B210" s="3">
        <v>46241.642361111109</v>
      </c>
      <c r="C210" s="2" t="s">
        <v>12</v>
      </c>
      <c r="D210" s="2" t="s">
        <v>15</v>
      </c>
      <c r="E210" s="2">
        <v>2</v>
      </c>
      <c r="F210" s="2">
        <v>100</v>
      </c>
      <c r="G210" s="2">
        <v>0</v>
      </c>
      <c r="H210" s="2">
        <v>100</v>
      </c>
      <c r="I210" s="2">
        <v>10</v>
      </c>
      <c r="J210" s="2" t="s">
        <v>14</v>
      </c>
      <c r="K210" s="2">
        <f>VLOOKUP(A:A,[1]XuanStockQAResults!$A:$C,3,0)</f>
        <v>413</v>
      </c>
      <c r="L210" s="4">
        <f t="shared" ca="1" si="3"/>
        <v>7.3069899305555737</v>
      </c>
    </row>
    <row r="211" spans="1:12" x14ac:dyDescent="0.2">
      <c r="A211" s="2" t="s">
        <v>345</v>
      </c>
      <c r="B211" s="3">
        <v>46241.642361111109</v>
      </c>
      <c r="C211" s="2" t="s">
        <v>12</v>
      </c>
      <c r="D211" s="2" t="s">
        <v>150</v>
      </c>
      <c r="E211" s="2">
        <v>2</v>
      </c>
      <c r="F211" s="2">
        <v>13</v>
      </c>
      <c r="G211" s="2">
        <v>0</v>
      </c>
      <c r="H211" s="2">
        <v>13</v>
      </c>
      <c r="I211" s="2">
        <v>3</v>
      </c>
      <c r="J211" s="2" t="s">
        <v>14</v>
      </c>
      <c r="K211" s="2">
        <f>VLOOKUP(A:A,[1]XuanStockQAResults!$A:$C,3,0)</f>
        <v>413</v>
      </c>
      <c r="L211" s="4">
        <f t="shared" ca="1" si="3"/>
        <v>7.3069899305555737</v>
      </c>
    </row>
    <row r="212" spans="1:12" x14ac:dyDescent="0.2">
      <c r="A212" s="2" t="s">
        <v>348</v>
      </c>
      <c r="B212" s="3">
        <v>46206.369444444441</v>
      </c>
      <c r="C212" s="2" t="s">
        <v>12</v>
      </c>
      <c r="D212" s="2" t="s">
        <v>349</v>
      </c>
      <c r="E212" s="2">
        <v>1</v>
      </c>
      <c r="F212" s="2">
        <v>100</v>
      </c>
      <c r="G212" s="2">
        <v>0</v>
      </c>
      <c r="H212" s="2">
        <v>100</v>
      </c>
      <c r="I212" s="2">
        <v>10</v>
      </c>
      <c r="J212" s="2" t="s">
        <v>14</v>
      </c>
      <c r="K212" s="2">
        <f>VLOOKUP(A:A,[1]XuanStockQAResults!$A:$C,3,0)</f>
        <v>308</v>
      </c>
      <c r="L212" s="4">
        <f t="shared" ca="1" si="3"/>
        <v>42.579906597224181</v>
      </c>
    </row>
    <row r="213" spans="1:12" x14ac:dyDescent="0.2">
      <c r="A213" s="2" t="s">
        <v>348</v>
      </c>
      <c r="B213" s="3">
        <v>46241.642361111109</v>
      </c>
      <c r="C213" s="2" t="s">
        <v>12</v>
      </c>
      <c r="D213" s="2" t="s">
        <v>15</v>
      </c>
      <c r="E213" s="2">
        <v>3</v>
      </c>
      <c r="F213" s="2">
        <v>100</v>
      </c>
      <c r="G213" s="2">
        <v>0</v>
      </c>
      <c r="H213" s="2">
        <v>100</v>
      </c>
      <c r="I213" s="2">
        <v>10</v>
      </c>
      <c r="J213" s="2" t="s">
        <v>14</v>
      </c>
      <c r="K213" s="2">
        <f>VLOOKUP(A:A,[1]XuanStockQAResults!$A:$C,3,0)</f>
        <v>308</v>
      </c>
      <c r="L213" s="4">
        <f t="shared" ca="1" si="3"/>
        <v>7.3069899305555737</v>
      </c>
    </row>
    <row r="214" spans="1:12" x14ac:dyDescent="0.2">
      <c r="A214" s="2" t="s">
        <v>348</v>
      </c>
      <c r="B214" s="3">
        <v>46241.642361111109</v>
      </c>
      <c r="C214" s="2" t="s">
        <v>12</v>
      </c>
      <c r="D214" s="2" t="s">
        <v>150</v>
      </c>
      <c r="E214" s="2">
        <v>3</v>
      </c>
      <c r="F214" s="2">
        <v>108</v>
      </c>
      <c r="G214" s="2">
        <v>0</v>
      </c>
      <c r="H214" s="2">
        <v>108</v>
      </c>
      <c r="I214" s="2">
        <v>9</v>
      </c>
      <c r="J214" s="2" t="s">
        <v>14</v>
      </c>
      <c r="K214" s="2">
        <f>VLOOKUP(A:A,[1]XuanStockQAResults!$A:$C,3,0)</f>
        <v>308</v>
      </c>
      <c r="L214" s="4">
        <f t="shared" ca="1" si="3"/>
        <v>7.3069899305555737</v>
      </c>
    </row>
    <row r="215" spans="1:12" x14ac:dyDescent="0.2">
      <c r="A215" s="2" t="s">
        <v>350</v>
      </c>
      <c r="B215" s="3">
        <v>46247.602083333331</v>
      </c>
      <c r="C215" s="2" t="s">
        <v>12</v>
      </c>
      <c r="D215" s="2" t="s">
        <v>297</v>
      </c>
      <c r="E215" s="2">
        <v>2</v>
      </c>
      <c r="F215" s="2">
        <v>50</v>
      </c>
      <c r="G215" s="2">
        <v>0</v>
      </c>
      <c r="H215" s="2">
        <v>50</v>
      </c>
      <c r="I215" s="2">
        <v>5</v>
      </c>
      <c r="J215" s="2" t="s">
        <v>14</v>
      </c>
      <c r="K215" s="2">
        <f>VLOOKUP(A:A,[1]XuanStockQAResults!$A:$C,3,0)</f>
        <v>50</v>
      </c>
      <c r="L215" s="4">
        <f t="shared" ca="1" si="3"/>
        <v>1.3472677083336748</v>
      </c>
    </row>
    <row r="216" spans="1:12" x14ac:dyDescent="0.2">
      <c r="A216" s="2" t="s">
        <v>351</v>
      </c>
      <c r="B216" s="3">
        <v>46206.368750000001</v>
      </c>
      <c r="C216" s="2" t="s">
        <v>12</v>
      </c>
      <c r="D216" s="2" t="s">
        <v>352</v>
      </c>
      <c r="E216" s="2">
        <v>2</v>
      </c>
      <c r="F216" s="2">
        <v>100</v>
      </c>
      <c r="G216" s="2">
        <v>0</v>
      </c>
      <c r="H216" s="2">
        <v>100</v>
      </c>
      <c r="I216" s="2">
        <v>10</v>
      </c>
      <c r="J216" s="2" t="s">
        <v>14</v>
      </c>
      <c r="K216" s="2">
        <f>VLOOKUP(A:A,[1]XuanStockQAResults!$A:$C,3,0)</f>
        <v>24</v>
      </c>
      <c r="L216" s="4">
        <f t="shared" ca="1" si="3"/>
        <v>42.580601041663613</v>
      </c>
    </row>
    <row r="217" spans="1:12" x14ac:dyDescent="0.2">
      <c r="A217" s="2" t="s">
        <v>351</v>
      </c>
      <c r="B217" s="3">
        <v>46206.369444444441</v>
      </c>
      <c r="C217" s="2" t="s">
        <v>12</v>
      </c>
      <c r="D217" s="2" t="s">
        <v>353</v>
      </c>
      <c r="E217" s="2">
        <v>1</v>
      </c>
      <c r="F217" s="2">
        <v>72</v>
      </c>
      <c r="G217" s="2">
        <v>0</v>
      </c>
      <c r="H217" s="2">
        <v>72</v>
      </c>
      <c r="I217" s="2">
        <v>8</v>
      </c>
      <c r="J217" s="2" t="s">
        <v>14</v>
      </c>
      <c r="K217" s="2">
        <f>VLOOKUP(A:A,[1]XuanStockQAResults!$A:$C,3,0)</f>
        <v>24</v>
      </c>
      <c r="L217" s="4">
        <f t="shared" ca="1" si="3"/>
        <v>42.579906597224181</v>
      </c>
    </row>
    <row r="218" spans="1:12" x14ac:dyDescent="0.2">
      <c r="A218" s="2" t="s">
        <v>351</v>
      </c>
      <c r="B218" s="3">
        <v>46233.615277777775</v>
      </c>
      <c r="C218" s="2" t="s">
        <v>12</v>
      </c>
      <c r="D218" s="2" t="s">
        <v>333</v>
      </c>
      <c r="E218" s="2">
        <v>3</v>
      </c>
      <c r="F218" s="2">
        <v>24</v>
      </c>
      <c r="G218" s="2">
        <v>0</v>
      </c>
      <c r="H218" s="2">
        <v>24</v>
      </c>
      <c r="I218" s="2">
        <v>3</v>
      </c>
      <c r="J218" s="2" t="s">
        <v>14</v>
      </c>
      <c r="K218" s="2">
        <f>VLOOKUP(A:A,[1]XuanStockQAResults!$A:$C,3,0)</f>
        <v>24</v>
      </c>
      <c r="L218" s="4">
        <f t="shared" ca="1" si="3"/>
        <v>15.334073263889877</v>
      </c>
    </row>
    <row r="219" spans="1:12" x14ac:dyDescent="0.2">
      <c r="A219" s="2" t="s">
        <v>354</v>
      </c>
      <c r="B219" s="3">
        <v>46218.606944444444</v>
      </c>
      <c r="C219" s="2" t="s">
        <v>12</v>
      </c>
      <c r="D219" s="2" t="s">
        <v>355</v>
      </c>
      <c r="E219" s="2">
        <v>2</v>
      </c>
      <c r="F219" s="2">
        <v>50</v>
      </c>
      <c r="G219" s="2">
        <v>0</v>
      </c>
      <c r="H219" s="2">
        <v>50</v>
      </c>
      <c r="I219" s="2">
        <v>5</v>
      </c>
      <c r="J219" s="2" t="s">
        <v>14</v>
      </c>
      <c r="K219" s="2">
        <f>VLOOKUP(A:A,[1]XuanStockQAResults!$A:$C,3,0)</f>
        <v>50</v>
      </c>
      <c r="L219" s="4">
        <f t="shared" ca="1" si="3"/>
        <v>30.34240659722127</v>
      </c>
    </row>
    <row r="220" spans="1:12" x14ac:dyDescent="0.2">
      <c r="A220" s="2" t="s">
        <v>356</v>
      </c>
      <c r="B220" s="3">
        <v>46244.536805555559</v>
      </c>
      <c r="C220" s="2" t="s">
        <v>12</v>
      </c>
      <c r="D220" s="2" t="s">
        <v>357</v>
      </c>
      <c r="E220" s="2">
        <v>1</v>
      </c>
      <c r="F220" s="2">
        <v>200</v>
      </c>
      <c r="G220" s="2">
        <v>0</v>
      </c>
      <c r="H220" s="2">
        <v>200</v>
      </c>
      <c r="I220" s="2">
        <v>16</v>
      </c>
      <c r="J220" s="2" t="s">
        <v>14</v>
      </c>
      <c r="K220" s="2">
        <f>VLOOKUP(A:A,[1]XuanStockQAResults!$A:$C,3,0)</f>
        <v>200</v>
      </c>
      <c r="L220" s="4">
        <f t="shared" ca="1" si="3"/>
        <v>4.4125454861059552</v>
      </c>
    </row>
    <row r="221" spans="1:12" x14ac:dyDescent="0.2">
      <c r="A221" s="2" t="s">
        <v>358</v>
      </c>
      <c r="B221" s="3">
        <v>46248.533333333333</v>
      </c>
      <c r="C221" s="2" t="s">
        <v>12</v>
      </c>
      <c r="D221" s="2" t="s">
        <v>31</v>
      </c>
      <c r="E221" s="2">
        <v>2</v>
      </c>
      <c r="F221" s="2">
        <v>200</v>
      </c>
      <c r="G221" s="2">
        <v>0</v>
      </c>
      <c r="H221" s="2">
        <v>200</v>
      </c>
      <c r="I221" s="2">
        <v>16</v>
      </c>
      <c r="J221" s="2" t="s">
        <v>14</v>
      </c>
      <c r="K221" s="2">
        <f>VLOOKUP(A:A,[1]XuanStockQAResults!$A:$C,3,0)</f>
        <v>200</v>
      </c>
      <c r="L221" s="4">
        <f t="shared" ca="1" si="3"/>
        <v>0.41601770833221963</v>
      </c>
    </row>
    <row r="222" spans="1:12" x14ac:dyDescent="0.2">
      <c r="A222" s="2" t="s">
        <v>359</v>
      </c>
      <c r="B222" s="3">
        <v>46248.533333333333</v>
      </c>
      <c r="C222" s="2" t="s">
        <v>12</v>
      </c>
      <c r="D222" s="2" t="s">
        <v>31</v>
      </c>
      <c r="E222" s="2">
        <v>3</v>
      </c>
      <c r="F222" s="2">
        <v>100</v>
      </c>
      <c r="G222" s="2">
        <v>0</v>
      </c>
      <c r="H222" s="2">
        <v>100</v>
      </c>
      <c r="I222" s="2">
        <v>10</v>
      </c>
      <c r="J222" s="2" t="s">
        <v>14</v>
      </c>
      <c r="K222" s="2">
        <f>VLOOKUP(A:A,[1]XuanStockQAResults!$A:$C,3,0)</f>
        <v>100</v>
      </c>
      <c r="L222" s="4">
        <f t="shared" ca="1" si="3"/>
        <v>0.41601770833221963</v>
      </c>
    </row>
    <row r="223" spans="1:12" x14ac:dyDescent="0.2">
      <c r="A223" s="2" t="s">
        <v>360</v>
      </c>
      <c r="B223" s="3">
        <v>46244.536805555559</v>
      </c>
      <c r="C223" s="2" t="s">
        <v>12</v>
      </c>
      <c r="D223" s="2" t="s">
        <v>357</v>
      </c>
      <c r="E223" s="2">
        <v>2</v>
      </c>
      <c r="F223" s="2">
        <v>83</v>
      </c>
      <c r="G223" s="2">
        <v>0</v>
      </c>
      <c r="H223" s="2">
        <v>83</v>
      </c>
      <c r="I223" s="2">
        <v>9</v>
      </c>
      <c r="J223" s="2" t="s">
        <v>14</v>
      </c>
      <c r="K223" s="2">
        <f>VLOOKUP(A:A,[1]XuanStockQAResults!$A:$C,3,0)</f>
        <v>100</v>
      </c>
      <c r="L223" s="4">
        <f t="shared" ca="1" si="3"/>
        <v>4.4125454861059552</v>
      </c>
    </row>
    <row r="224" spans="1:12" x14ac:dyDescent="0.2">
      <c r="A224" s="2" t="s">
        <v>360</v>
      </c>
      <c r="B224" s="3">
        <v>46248.533333333333</v>
      </c>
      <c r="C224" s="2" t="s">
        <v>12</v>
      </c>
      <c r="D224" s="2" t="s">
        <v>361</v>
      </c>
      <c r="E224" s="2">
        <v>1</v>
      </c>
      <c r="F224" s="2">
        <v>17</v>
      </c>
      <c r="G224" s="2">
        <v>0</v>
      </c>
      <c r="H224" s="2">
        <v>17</v>
      </c>
      <c r="I224" s="2">
        <v>4</v>
      </c>
      <c r="J224" s="2" t="s">
        <v>14</v>
      </c>
      <c r="K224" s="2">
        <f>VLOOKUP(A:A,[1]XuanStockQAResults!$A:$C,3,0)</f>
        <v>100</v>
      </c>
      <c r="L224" s="4">
        <f t="shared" ca="1" si="3"/>
        <v>0.41601770833221963</v>
      </c>
    </row>
    <row r="225" spans="1:12" x14ac:dyDescent="0.2">
      <c r="A225" s="2" t="s">
        <v>362</v>
      </c>
      <c r="B225" s="3">
        <v>46244.536805555559</v>
      </c>
      <c r="C225" s="2" t="s">
        <v>12</v>
      </c>
      <c r="D225" s="2" t="s">
        <v>363</v>
      </c>
      <c r="E225" s="2">
        <v>1</v>
      </c>
      <c r="F225" s="2">
        <v>50</v>
      </c>
      <c r="G225" s="2">
        <v>0</v>
      </c>
      <c r="H225" s="2">
        <v>50</v>
      </c>
      <c r="I225" s="2">
        <v>5</v>
      </c>
      <c r="J225" s="2" t="s">
        <v>14</v>
      </c>
      <c r="K225" s="2">
        <f>VLOOKUP(A:A,[1]XuanStockQAResults!$A:$C,3,0)</f>
        <v>50</v>
      </c>
      <c r="L225" s="4">
        <f t="shared" ca="1" si="3"/>
        <v>4.4125454861059552</v>
      </c>
    </row>
    <row r="226" spans="1:12" x14ac:dyDescent="0.2">
      <c r="A226" s="2" t="s">
        <v>364</v>
      </c>
      <c r="B226" s="3">
        <v>46227.581944444442</v>
      </c>
      <c r="C226" s="2" t="s">
        <v>12</v>
      </c>
      <c r="D226" s="2" t="s">
        <v>365</v>
      </c>
      <c r="E226" s="2">
        <v>1</v>
      </c>
      <c r="F226" s="2">
        <v>500</v>
      </c>
      <c r="G226" s="2">
        <v>0</v>
      </c>
      <c r="H226" s="2">
        <v>500</v>
      </c>
      <c r="I226" s="2">
        <v>30</v>
      </c>
      <c r="J226" s="2" t="s">
        <v>14</v>
      </c>
      <c r="K226" s="2">
        <f>VLOOKUP(A:A,[1]XuanStockQAResults!$A:$C,3,0)</f>
        <v>500</v>
      </c>
      <c r="L226" s="4">
        <f t="shared" ca="1" si="3"/>
        <v>21.367406597222725</v>
      </c>
    </row>
    <row r="227" spans="1:12" x14ac:dyDescent="0.2">
      <c r="A227" s="2" t="s">
        <v>366</v>
      </c>
      <c r="B227" s="3">
        <v>46227.581944444442</v>
      </c>
      <c r="C227" s="2" t="s">
        <v>12</v>
      </c>
      <c r="D227" s="2" t="s">
        <v>365</v>
      </c>
      <c r="E227" s="2">
        <v>2</v>
      </c>
      <c r="F227" s="2">
        <v>500</v>
      </c>
      <c r="G227" s="2">
        <v>0</v>
      </c>
      <c r="H227" s="2">
        <v>500</v>
      </c>
      <c r="I227" s="2">
        <v>30</v>
      </c>
      <c r="J227" s="2" t="s">
        <v>14</v>
      </c>
      <c r="K227" s="2">
        <f>VLOOKUP(A:A,[1]XuanStockQAResults!$A:$C,3,0)</f>
        <v>1000</v>
      </c>
      <c r="L227" s="4">
        <f t="shared" ca="1" si="3"/>
        <v>21.367406597222725</v>
      </c>
    </row>
    <row r="228" spans="1:12" x14ac:dyDescent="0.2">
      <c r="A228" s="2" t="s">
        <v>366</v>
      </c>
      <c r="B228" s="3">
        <v>46227.581944444442</v>
      </c>
      <c r="C228" s="2" t="s">
        <v>12</v>
      </c>
      <c r="D228" s="2" t="s">
        <v>367</v>
      </c>
      <c r="E228" s="2">
        <v>1</v>
      </c>
      <c r="F228" s="2">
        <v>500</v>
      </c>
      <c r="G228" s="2">
        <v>0</v>
      </c>
      <c r="H228" s="2">
        <v>500</v>
      </c>
      <c r="I228" s="2">
        <v>30</v>
      </c>
      <c r="J228" s="2" t="s">
        <v>14</v>
      </c>
      <c r="K228" s="2">
        <f>VLOOKUP(A:A,[1]XuanStockQAResults!$A:$C,3,0)</f>
        <v>1000</v>
      </c>
      <c r="L228" s="4">
        <f t="shared" ca="1" si="3"/>
        <v>21.367406597222725</v>
      </c>
    </row>
    <row r="229" spans="1:12" x14ac:dyDescent="0.2">
      <c r="A229" s="2" t="s">
        <v>368</v>
      </c>
      <c r="B229" s="3">
        <v>46227.581944444442</v>
      </c>
      <c r="C229" s="2" t="s">
        <v>12</v>
      </c>
      <c r="D229" s="2" t="s">
        <v>365</v>
      </c>
      <c r="E229" s="2">
        <v>3</v>
      </c>
      <c r="F229" s="2">
        <v>500</v>
      </c>
      <c r="G229" s="2">
        <v>0</v>
      </c>
      <c r="H229" s="2">
        <v>500</v>
      </c>
      <c r="I229" s="2">
        <v>30</v>
      </c>
      <c r="J229" s="2" t="s">
        <v>14</v>
      </c>
      <c r="K229" s="2">
        <f>VLOOKUP(A:A,[1]XuanStockQAResults!$A:$C,3,0)</f>
        <v>500</v>
      </c>
      <c r="L229" s="4">
        <f t="shared" ca="1" si="3"/>
        <v>21.367406597222725</v>
      </c>
    </row>
    <row r="230" spans="1:12" x14ac:dyDescent="0.2">
      <c r="A230" s="2" t="s">
        <v>369</v>
      </c>
      <c r="B230" s="3">
        <v>46227.581944444442</v>
      </c>
      <c r="C230" s="2" t="s">
        <v>12</v>
      </c>
      <c r="D230" s="2" t="s">
        <v>365</v>
      </c>
      <c r="E230" s="2">
        <v>4</v>
      </c>
      <c r="F230" s="2">
        <v>500</v>
      </c>
      <c r="G230" s="2">
        <v>0</v>
      </c>
      <c r="H230" s="2">
        <v>500</v>
      </c>
      <c r="I230" s="2">
        <v>30</v>
      </c>
      <c r="J230" s="2" t="s">
        <v>14</v>
      </c>
      <c r="K230" s="2">
        <f>VLOOKUP(A:A,[1]XuanStockQAResults!$A:$C,3,0)</f>
        <v>500</v>
      </c>
      <c r="L230" s="4">
        <f t="shared" ca="1" si="3"/>
        <v>21.367406597222725</v>
      </c>
    </row>
    <row r="231" spans="1:12" x14ac:dyDescent="0.2">
      <c r="A231" s="2" t="s">
        <v>370</v>
      </c>
      <c r="B231" s="3">
        <v>46247.697222222225</v>
      </c>
      <c r="C231" s="2" t="s">
        <v>10</v>
      </c>
      <c r="D231" s="2" t="s">
        <v>371</v>
      </c>
      <c r="E231" s="2">
        <v>1</v>
      </c>
      <c r="F231" s="2">
        <v>4</v>
      </c>
      <c r="G231" s="2">
        <v>0</v>
      </c>
      <c r="H231" s="2">
        <v>4</v>
      </c>
      <c r="I231" s="2">
        <v>4</v>
      </c>
      <c r="J231" s="2" t="s">
        <v>17</v>
      </c>
      <c r="K231" s="2">
        <f>VLOOKUP(A:A,[1]XuanStockQAResults!$A:$C,3,0)</f>
        <v>4</v>
      </c>
      <c r="L231" s="4">
        <f t="shared" ca="1" si="3"/>
        <v>1.2521288194402587</v>
      </c>
    </row>
    <row r="232" spans="1:12" x14ac:dyDescent="0.2">
      <c r="A232" s="2" t="s">
        <v>372</v>
      </c>
      <c r="B232" s="3">
        <v>46247.698611111111</v>
      </c>
      <c r="C232" s="2" t="s">
        <v>10</v>
      </c>
      <c r="D232" s="2" t="s">
        <v>373</v>
      </c>
      <c r="E232" s="2">
        <v>1</v>
      </c>
      <c r="F232" s="2">
        <v>5</v>
      </c>
      <c r="G232" s="2">
        <v>0</v>
      </c>
      <c r="H232" s="2">
        <v>5</v>
      </c>
      <c r="I232" s="2">
        <v>5</v>
      </c>
      <c r="J232" s="2" t="s">
        <v>17</v>
      </c>
      <c r="K232" s="2">
        <f>VLOOKUP(A:A,[1]XuanStockQAResults!$A:$C,3,0)</f>
        <v>5</v>
      </c>
      <c r="L232" s="4">
        <f t="shared" ca="1" si="3"/>
        <v>1.2507399305541185</v>
      </c>
    </row>
    <row r="233" spans="1:12" x14ac:dyDescent="0.2">
      <c r="A233" s="2" t="s">
        <v>374</v>
      </c>
      <c r="B233" s="3">
        <v>46247.697916666664</v>
      </c>
      <c r="C233" s="2" t="s">
        <v>10</v>
      </c>
      <c r="D233" s="2" t="s">
        <v>375</v>
      </c>
      <c r="E233" s="2">
        <v>1</v>
      </c>
      <c r="F233" s="2">
        <v>5</v>
      </c>
      <c r="G233" s="2">
        <v>0</v>
      </c>
      <c r="H233" s="2">
        <v>5</v>
      </c>
      <c r="I233" s="2">
        <v>5</v>
      </c>
      <c r="J233" s="2" t="s">
        <v>17</v>
      </c>
      <c r="K233" s="2">
        <f>VLOOKUP(A:A,[1]XuanStockQAResults!$A:$C,3,0)</f>
        <v>5</v>
      </c>
      <c r="L233" s="4">
        <f t="shared" ca="1" si="3"/>
        <v>1.2514343750008265</v>
      </c>
    </row>
    <row r="234" spans="1:12" x14ac:dyDescent="0.2">
      <c r="A234" s="2" t="s">
        <v>376</v>
      </c>
      <c r="B234" s="3">
        <v>46239.561111111114</v>
      </c>
      <c r="C234" s="2" t="s">
        <v>12</v>
      </c>
      <c r="D234" s="2" t="s">
        <v>377</v>
      </c>
      <c r="E234" s="2">
        <v>1</v>
      </c>
      <c r="F234" s="2">
        <v>100</v>
      </c>
      <c r="G234" s="2">
        <v>0</v>
      </c>
      <c r="H234" s="2">
        <v>100</v>
      </c>
      <c r="I234" s="2">
        <v>10</v>
      </c>
      <c r="J234" s="2" t="s">
        <v>14</v>
      </c>
      <c r="K234" s="2">
        <f>VLOOKUP(A:A,[1]XuanStockQAResults!$A:$C,3,0)</f>
        <v>100</v>
      </c>
      <c r="L234" s="4">
        <f t="shared" ca="1" si="3"/>
        <v>9.3882399305512081</v>
      </c>
    </row>
    <row r="235" spans="1:12" x14ac:dyDescent="0.2">
      <c r="A235" s="2" t="s">
        <v>378</v>
      </c>
      <c r="B235" s="3">
        <v>46247.699305555558</v>
      </c>
      <c r="C235" s="2" t="s">
        <v>10</v>
      </c>
      <c r="D235" s="2" t="s">
        <v>379</v>
      </c>
      <c r="E235" s="2">
        <v>1</v>
      </c>
      <c r="F235" s="2">
        <v>7</v>
      </c>
      <c r="G235" s="2">
        <v>0</v>
      </c>
      <c r="H235" s="2">
        <v>7</v>
      </c>
      <c r="I235" s="2">
        <v>7</v>
      </c>
      <c r="J235" s="2" t="s">
        <v>17</v>
      </c>
      <c r="K235" s="2">
        <f>VLOOKUP(A:A,[1]XuanStockQAResults!$A:$C,3,0)</f>
        <v>7</v>
      </c>
      <c r="L235" s="4">
        <f t="shared" ca="1" si="3"/>
        <v>1.2500454861074104</v>
      </c>
    </row>
    <row r="236" spans="1:12" x14ac:dyDescent="0.2">
      <c r="A236" s="2" t="s">
        <v>380</v>
      </c>
      <c r="B236" s="3">
        <v>46247.697916666664</v>
      </c>
      <c r="C236" s="2" t="s">
        <v>10</v>
      </c>
      <c r="D236" s="2" t="s">
        <v>381</v>
      </c>
      <c r="E236" s="2">
        <v>1</v>
      </c>
      <c r="F236" s="2">
        <v>7</v>
      </c>
      <c r="G236" s="2">
        <v>0</v>
      </c>
      <c r="H236" s="2">
        <v>7</v>
      </c>
      <c r="I236" s="2">
        <v>7</v>
      </c>
      <c r="J236" s="2" t="s">
        <v>17</v>
      </c>
      <c r="K236" s="2">
        <f>VLOOKUP(A:A,[1]XuanStockQAResults!$A:$C,3,0)</f>
        <v>7</v>
      </c>
      <c r="L236" s="4">
        <f t="shared" ca="1" si="3"/>
        <v>1.2514343750008265</v>
      </c>
    </row>
    <row r="237" spans="1:12" x14ac:dyDescent="0.2">
      <c r="A237" s="2" t="s">
        <v>382</v>
      </c>
      <c r="B237" s="3">
        <v>46212.5625</v>
      </c>
      <c r="C237" s="2" t="s">
        <v>12</v>
      </c>
      <c r="D237" s="2" t="s">
        <v>383</v>
      </c>
      <c r="E237" s="2">
        <v>3</v>
      </c>
      <c r="F237" s="2">
        <v>200</v>
      </c>
      <c r="G237" s="2">
        <v>0</v>
      </c>
      <c r="H237" s="2">
        <v>200</v>
      </c>
      <c r="I237" s="2">
        <v>16</v>
      </c>
      <c r="J237" s="2" t="s">
        <v>14</v>
      </c>
      <c r="K237" s="2">
        <f>VLOOKUP(A:A,[1]XuanStockQAResults!$A:$C,3,0)</f>
        <v>200</v>
      </c>
      <c r="L237" s="4">
        <f t="shared" ca="1" si="3"/>
        <v>36.386851041665068</v>
      </c>
    </row>
    <row r="238" spans="1:12" x14ac:dyDescent="0.2">
      <c r="A238" s="2" t="s">
        <v>384</v>
      </c>
      <c r="B238" s="3">
        <v>46226.676388888889</v>
      </c>
      <c r="C238" s="2" t="s">
        <v>12</v>
      </c>
      <c r="D238" s="2" t="s">
        <v>385</v>
      </c>
      <c r="E238" s="2">
        <v>2</v>
      </c>
      <c r="F238" s="2">
        <v>200</v>
      </c>
      <c r="G238" s="2">
        <v>0</v>
      </c>
      <c r="H238" s="2">
        <v>200</v>
      </c>
      <c r="I238" s="2">
        <v>16</v>
      </c>
      <c r="J238" s="2" t="s">
        <v>14</v>
      </c>
      <c r="K238" s="2">
        <f>VLOOKUP(A:A,[1]XuanStockQAResults!$A:$C,3,0)</f>
        <v>200</v>
      </c>
      <c r="L238" s="4">
        <f t="shared" ca="1" si="3"/>
        <v>22.272962152776017</v>
      </c>
    </row>
    <row r="239" spans="1:12" x14ac:dyDescent="0.2">
      <c r="A239" s="2" t="s">
        <v>386</v>
      </c>
      <c r="B239" s="3">
        <v>46246.59652777778</v>
      </c>
      <c r="C239" s="2" t="s">
        <v>10</v>
      </c>
      <c r="D239" s="2" t="s">
        <v>387</v>
      </c>
      <c r="E239" s="2">
        <v>1</v>
      </c>
      <c r="F239" s="2">
        <v>1</v>
      </c>
      <c r="G239" s="2">
        <v>0</v>
      </c>
      <c r="H239" s="2">
        <v>1</v>
      </c>
      <c r="I239" s="2">
        <v>1</v>
      </c>
      <c r="J239" s="2" t="s">
        <v>17</v>
      </c>
      <c r="K239" s="2">
        <f>VLOOKUP(A:A,[1]XuanStockQAResults!$A:$C,3,0)</f>
        <v>1</v>
      </c>
      <c r="L239" s="4">
        <f t="shared" ca="1" si="3"/>
        <v>2.3528232638855116</v>
      </c>
    </row>
    <row r="240" spans="1:12" x14ac:dyDescent="0.2">
      <c r="A240" s="2" t="s">
        <v>388</v>
      </c>
      <c r="B240" s="3">
        <v>46230.683333333334</v>
      </c>
      <c r="C240" s="2" t="s">
        <v>12</v>
      </c>
      <c r="D240" s="2" t="s">
        <v>389</v>
      </c>
      <c r="E240" s="2">
        <v>1</v>
      </c>
      <c r="F240" s="2">
        <v>200</v>
      </c>
      <c r="G240" s="2">
        <v>0</v>
      </c>
      <c r="H240" s="2">
        <v>200</v>
      </c>
      <c r="I240" s="2">
        <v>16</v>
      </c>
      <c r="J240" s="2" t="s">
        <v>14</v>
      </c>
      <c r="K240" s="2">
        <f>VLOOKUP(A:A,[1]XuanStockQAResults!$A:$C,3,0)</f>
        <v>200</v>
      </c>
      <c r="L240" s="4">
        <f t="shared" ca="1" si="3"/>
        <v>18.266017708330764</v>
      </c>
    </row>
    <row r="241" spans="1:12" x14ac:dyDescent="0.2">
      <c r="A241" s="2" t="s">
        <v>390</v>
      </c>
      <c r="B241" s="3">
        <v>46238.545138888891</v>
      </c>
      <c r="C241" s="2" t="s">
        <v>12</v>
      </c>
      <c r="D241" s="2" t="s">
        <v>391</v>
      </c>
      <c r="E241" s="2">
        <v>1</v>
      </c>
      <c r="F241" s="2">
        <v>256</v>
      </c>
      <c r="G241" s="2">
        <v>0</v>
      </c>
      <c r="H241" s="2">
        <v>256</v>
      </c>
      <c r="I241" s="2">
        <v>16</v>
      </c>
      <c r="J241" s="2" t="s">
        <v>14</v>
      </c>
      <c r="K241" s="2">
        <f>VLOOKUP(A:A,[1]XuanStockQAResults!$A:$C,3,0)</f>
        <v>256</v>
      </c>
      <c r="L241" s="4">
        <f t="shared" ca="1" si="3"/>
        <v>10.404212152774562</v>
      </c>
    </row>
    <row r="242" spans="1:12" x14ac:dyDescent="0.2">
      <c r="A242" s="2" t="s">
        <v>392</v>
      </c>
      <c r="B242" s="3">
        <v>46238.544444444444</v>
      </c>
      <c r="C242" s="2" t="s">
        <v>12</v>
      </c>
      <c r="D242" s="2" t="s">
        <v>393</v>
      </c>
      <c r="E242" s="2">
        <v>1</v>
      </c>
      <c r="F242" s="2">
        <v>100</v>
      </c>
      <c r="G242" s="2">
        <v>0</v>
      </c>
      <c r="H242" s="2">
        <v>100</v>
      </c>
      <c r="I242" s="2">
        <v>10</v>
      </c>
      <c r="J242" s="2" t="s">
        <v>14</v>
      </c>
      <c r="K242" s="2">
        <f>VLOOKUP(A:A,[1]XuanStockQAResults!$A:$C,3,0)</f>
        <v>100</v>
      </c>
      <c r="L242" s="4">
        <f t="shared" ca="1" si="3"/>
        <v>10.40490659722127</v>
      </c>
    </row>
    <row r="243" spans="1:12" x14ac:dyDescent="0.2">
      <c r="A243" s="2" t="s">
        <v>394</v>
      </c>
      <c r="B243" s="3">
        <v>46241.57708333333</v>
      </c>
      <c r="C243" s="2" t="s">
        <v>12</v>
      </c>
      <c r="D243" s="2" t="s">
        <v>395</v>
      </c>
      <c r="E243" s="2">
        <v>1</v>
      </c>
      <c r="F243" s="2">
        <v>14</v>
      </c>
      <c r="G243" s="2">
        <v>0</v>
      </c>
      <c r="H243" s="2">
        <v>14</v>
      </c>
      <c r="I243" s="2">
        <v>3</v>
      </c>
      <c r="J243" s="2" t="s">
        <v>14</v>
      </c>
      <c r="K243" s="2">
        <f>VLOOKUP(A:A,[1]XuanStockQAResults!$A:$C,3,0)</f>
        <v>19</v>
      </c>
      <c r="L243" s="4">
        <f t="shared" ca="1" si="3"/>
        <v>7.37226770833513</v>
      </c>
    </row>
    <row r="244" spans="1:12" x14ac:dyDescent="0.2">
      <c r="A244" s="2" t="s">
        <v>396</v>
      </c>
      <c r="B244" s="3">
        <v>46226.676388888889</v>
      </c>
      <c r="C244" s="2" t="s">
        <v>12</v>
      </c>
      <c r="D244" s="2" t="s">
        <v>385</v>
      </c>
      <c r="E244" s="2">
        <v>3</v>
      </c>
      <c r="F244" s="2">
        <v>200</v>
      </c>
      <c r="G244" s="2">
        <v>0</v>
      </c>
      <c r="H244" s="2">
        <v>200</v>
      </c>
      <c r="I244" s="2">
        <v>16</v>
      </c>
      <c r="J244" s="2" t="s">
        <v>14</v>
      </c>
      <c r="K244" s="2">
        <f>VLOOKUP(A:A,[1]XuanStockQAResults!$A:$C,3,0)</f>
        <v>200</v>
      </c>
      <c r="L244" s="4">
        <f t="shared" ca="1" si="3"/>
        <v>22.272962152776017</v>
      </c>
    </row>
    <row r="245" spans="1:12" x14ac:dyDescent="0.2">
      <c r="A245" s="2" t="s">
        <v>397</v>
      </c>
      <c r="B245" s="3">
        <v>46227.643055555556</v>
      </c>
      <c r="C245" s="2" t="s">
        <v>12</v>
      </c>
      <c r="D245" s="2" t="s">
        <v>398</v>
      </c>
      <c r="E245" s="2">
        <v>1</v>
      </c>
      <c r="F245" s="2">
        <v>10</v>
      </c>
      <c r="G245" s="2">
        <v>0</v>
      </c>
      <c r="H245" s="2">
        <v>10</v>
      </c>
      <c r="I245" s="2">
        <v>5</v>
      </c>
      <c r="J245" s="2" t="s">
        <v>14</v>
      </c>
      <c r="K245" s="2">
        <f>VLOOKUP(A:A,[1]XuanStockQAResults!$A:$C,3,0)</f>
        <v>10</v>
      </c>
      <c r="L245" s="4">
        <f t="shared" ca="1" si="3"/>
        <v>21.306295486108866</v>
      </c>
    </row>
    <row r="246" spans="1:12" x14ac:dyDescent="0.2">
      <c r="A246" s="2" t="s">
        <v>399</v>
      </c>
      <c r="B246" s="3">
        <v>46227.643055555556</v>
      </c>
      <c r="C246" s="2" t="s">
        <v>12</v>
      </c>
      <c r="D246" s="2" t="s">
        <v>398</v>
      </c>
      <c r="E246" s="2">
        <v>2</v>
      </c>
      <c r="F246" s="2">
        <v>10</v>
      </c>
      <c r="G246" s="2">
        <v>0</v>
      </c>
      <c r="H246" s="2">
        <v>10</v>
      </c>
      <c r="I246" s="2">
        <v>5</v>
      </c>
      <c r="J246" s="2" t="s">
        <v>14</v>
      </c>
      <c r="K246" s="2">
        <f>VLOOKUP(A:A,[1]XuanStockQAResults!$A:$C,3,0)</f>
        <v>10</v>
      </c>
      <c r="L246" s="4">
        <f t="shared" ca="1" si="3"/>
        <v>21.306295486108866</v>
      </c>
    </row>
    <row r="247" spans="1:12" x14ac:dyDescent="0.2">
      <c r="A247" s="2" t="s">
        <v>400</v>
      </c>
      <c r="B247" s="3">
        <v>46247.39166666667</v>
      </c>
      <c r="C247" s="2" t="s">
        <v>10</v>
      </c>
      <c r="D247" s="2" t="s">
        <v>401</v>
      </c>
      <c r="E247" s="2">
        <v>1</v>
      </c>
      <c r="F247" s="2">
        <v>2</v>
      </c>
      <c r="G247" s="2">
        <v>0</v>
      </c>
      <c r="H247" s="2">
        <v>2</v>
      </c>
      <c r="I247" s="2">
        <v>2</v>
      </c>
      <c r="J247" s="2" t="s">
        <v>14</v>
      </c>
      <c r="K247" s="2">
        <f>VLOOKUP(A:A,[1]XuanStockQAResults!$A:$C,3,0)</f>
        <v>2</v>
      </c>
      <c r="L247" s="4">
        <f t="shared" ca="1" si="3"/>
        <v>1.5576843749950058</v>
      </c>
    </row>
    <row r="248" spans="1:12" x14ac:dyDescent="0.2">
      <c r="A248" s="2" t="s">
        <v>402</v>
      </c>
      <c r="B248" s="3">
        <v>46239.554166666669</v>
      </c>
      <c r="C248" s="2" t="s">
        <v>10</v>
      </c>
      <c r="D248" s="2" t="s">
        <v>403</v>
      </c>
      <c r="E248" s="2">
        <v>1</v>
      </c>
      <c r="F248" s="2">
        <v>4</v>
      </c>
      <c r="G248" s="2">
        <v>0</v>
      </c>
      <c r="H248" s="2">
        <v>4</v>
      </c>
      <c r="I248" s="2">
        <v>4</v>
      </c>
      <c r="J248" s="2" t="s">
        <v>14</v>
      </c>
      <c r="K248" s="2">
        <f>VLOOKUP(A:A,[1]XuanStockQAResults!$A:$C,3,0)</f>
        <v>12</v>
      </c>
      <c r="L248" s="4">
        <f t="shared" ca="1" si="3"/>
        <v>9.395184374996461</v>
      </c>
    </row>
    <row r="249" spans="1:12" x14ac:dyDescent="0.2">
      <c r="A249" s="2" t="s">
        <v>402</v>
      </c>
      <c r="B249" s="3">
        <v>46247.390972222223</v>
      </c>
      <c r="C249" s="2" t="s">
        <v>10</v>
      </c>
      <c r="D249" s="2" t="s">
        <v>404</v>
      </c>
      <c r="E249" s="2">
        <v>1</v>
      </c>
      <c r="F249" s="2">
        <v>2</v>
      </c>
      <c r="G249" s="2">
        <v>0</v>
      </c>
      <c r="H249" s="2">
        <v>2</v>
      </c>
      <c r="I249" s="2">
        <v>2</v>
      </c>
      <c r="J249" s="2" t="s">
        <v>14</v>
      </c>
      <c r="K249" s="2">
        <f>VLOOKUP(A:A,[1]XuanStockQAResults!$A:$C,3,0)</f>
        <v>12</v>
      </c>
      <c r="L249" s="4">
        <f t="shared" ca="1" si="3"/>
        <v>1.5583788194417139</v>
      </c>
    </row>
    <row r="250" spans="1:12" x14ac:dyDescent="0.2">
      <c r="A250" s="2" t="s">
        <v>402</v>
      </c>
      <c r="B250" s="3">
        <v>46247.39166666667</v>
      </c>
      <c r="C250" s="2" t="s">
        <v>10</v>
      </c>
      <c r="D250" s="2" t="s">
        <v>401</v>
      </c>
      <c r="E250" s="2">
        <v>2</v>
      </c>
      <c r="F250" s="2">
        <v>3</v>
      </c>
      <c r="G250" s="2">
        <v>0</v>
      </c>
      <c r="H250" s="2">
        <v>3</v>
      </c>
      <c r="I250" s="2">
        <v>3</v>
      </c>
      <c r="J250" s="2" t="s">
        <v>14</v>
      </c>
      <c r="K250" s="2">
        <f>VLOOKUP(A:A,[1]XuanStockQAResults!$A:$C,3,0)</f>
        <v>12</v>
      </c>
      <c r="L250" s="4">
        <f t="shared" ca="1" si="3"/>
        <v>1.5576843749950058</v>
      </c>
    </row>
    <row r="251" spans="1:12" x14ac:dyDescent="0.2">
      <c r="A251" s="2" t="s">
        <v>405</v>
      </c>
      <c r="B251" s="3">
        <v>46220.362500000003</v>
      </c>
      <c r="C251" s="2" t="s">
        <v>12</v>
      </c>
      <c r="D251" s="2" t="s">
        <v>406</v>
      </c>
      <c r="E251" s="2">
        <v>3</v>
      </c>
      <c r="F251" s="2">
        <v>50</v>
      </c>
      <c r="G251" s="2">
        <v>0</v>
      </c>
      <c r="H251" s="2">
        <v>50</v>
      </c>
      <c r="I251" s="2">
        <v>5</v>
      </c>
      <c r="J251" s="2" t="s">
        <v>14</v>
      </c>
      <c r="K251" s="2">
        <f>VLOOKUP(A:A,[1]XuanStockQAResults!$A:$C,3,0)</f>
        <v>50</v>
      </c>
      <c r="L251" s="4">
        <f t="shared" ca="1" si="3"/>
        <v>28.586851041662158</v>
      </c>
    </row>
    <row r="252" spans="1:12" x14ac:dyDescent="0.2">
      <c r="A252" s="2" t="s">
        <v>407</v>
      </c>
      <c r="B252" s="3">
        <v>46216.417361111111</v>
      </c>
      <c r="C252" s="2" t="s">
        <v>12</v>
      </c>
      <c r="D252" s="2" t="s">
        <v>408</v>
      </c>
      <c r="E252" s="2">
        <v>1</v>
      </c>
      <c r="F252" s="2">
        <v>10</v>
      </c>
      <c r="G252" s="2">
        <v>0</v>
      </c>
      <c r="H252" s="2">
        <v>10</v>
      </c>
      <c r="I252" s="2">
        <v>5</v>
      </c>
      <c r="J252" s="2" t="s">
        <v>14</v>
      </c>
      <c r="K252" s="2">
        <f>VLOOKUP(A:A,[1]XuanStockQAResults!$A:$C,3,0)</f>
        <v>10</v>
      </c>
      <c r="L252" s="4">
        <f t="shared" ca="1" si="3"/>
        <v>32.531989930554118</v>
      </c>
    </row>
    <row r="253" spans="1:12" x14ac:dyDescent="0.2">
      <c r="A253" s="2" t="s">
        <v>409</v>
      </c>
      <c r="B253" s="3">
        <v>46246.34652777778</v>
      </c>
      <c r="C253" s="2" t="s">
        <v>12</v>
      </c>
      <c r="D253" s="2" t="s">
        <v>410</v>
      </c>
      <c r="E253" s="2">
        <v>1</v>
      </c>
      <c r="F253" s="2">
        <v>200</v>
      </c>
      <c r="G253" s="2">
        <v>0</v>
      </c>
      <c r="H253" s="2">
        <v>200</v>
      </c>
      <c r="I253" s="2">
        <v>16</v>
      </c>
      <c r="J253" s="2" t="s">
        <v>14</v>
      </c>
      <c r="K253" s="2">
        <f>VLOOKUP(A:A,[1]XuanStockQAResults!$A:$C,3,0)</f>
        <v>200</v>
      </c>
      <c r="L253" s="4">
        <f t="shared" ca="1" si="3"/>
        <v>2.6028232638855116</v>
      </c>
    </row>
    <row r="254" spans="1:12" x14ac:dyDescent="0.2">
      <c r="A254" s="2" t="s">
        <v>411</v>
      </c>
      <c r="B254" s="3">
        <v>46247.395138888889</v>
      </c>
      <c r="C254" s="2" t="s">
        <v>10</v>
      </c>
      <c r="D254" s="2" t="s">
        <v>412</v>
      </c>
      <c r="E254" s="2">
        <v>1</v>
      </c>
      <c r="F254" s="2">
        <v>600</v>
      </c>
      <c r="G254" s="2">
        <v>0</v>
      </c>
      <c r="H254" s="2">
        <v>600</v>
      </c>
      <c r="I254" s="2">
        <v>24</v>
      </c>
      <c r="J254" s="2" t="s">
        <v>14</v>
      </c>
      <c r="K254" s="2">
        <f>VLOOKUP(A:A,[1]XuanStockQAResults!$A:$C,3,0)</f>
        <v>600</v>
      </c>
      <c r="L254" s="4">
        <f t="shared" ca="1" si="3"/>
        <v>1.5542121527760173</v>
      </c>
    </row>
    <row r="255" spans="1:12" x14ac:dyDescent="0.2">
      <c r="A255" s="2" t="s">
        <v>413</v>
      </c>
      <c r="B255" s="3">
        <v>46216.406944444447</v>
      </c>
      <c r="C255" s="2" t="s">
        <v>10</v>
      </c>
      <c r="D255" s="2" t="s">
        <v>414</v>
      </c>
      <c r="E255" s="2">
        <v>1</v>
      </c>
      <c r="F255" s="2">
        <v>500</v>
      </c>
      <c r="G255" s="2">
        <v>0</v>
      </c>
      <c r="H255" s="2">
        <v>500</v>
      </c>
      <c r="I255" s="2">
        <v>30</v>
      </c>
      <c r="J255" s="2" t="s">
        <v>14</v>
      </c>
      <c r="K255" s="2">
        <f>VLOOKUP(A:A,[1]XuanStockQAResults!$A:$C,3,0)</f>
        <v>500</v>
      </c>
      <c r="L255" s="4">
        <f t="shared" ca="1" si="3"/>
        <v>32.54240659721836</v>
      </c>
    </row>
    <row r="256" spans="1:12" x14ac:dyDescent="0.2">
      <c r="A256" s="2" t="s">
        <v>415</v>
      </c>
      <c r="B256" s="3">
        <v>46216.408333333333</v>
      </c>
      <c r="C256" s="2" t="s">
        <v>10</v>
      </c>
      <c r="D256" s="2" t="s">
        <v>416</v>
      </c>
      <c r="E256" s="2">
        <v>2</v>
      </c>
      <c r="F256" s="2">
        <v>500</v>
      </c>
      <c r="G256" s="2">
        <v>0</v>
      </c>
      <c r="H256" s="2">
        <v>500</v>
      </c>
      <c r="I256" s="2">
        <v>30</v>
      </c>
      <c r="J256" s="2" t="s">
        <v>14</v>
      </c>
      <c r="K256" s="2">
        <f>VLOOKUP(A:A,[1]XuanStockQAResults!$A:$C,3,0)</f>
        <v>500</v>
      </c>
      <c r="L256" s="4">
        <f t="shared" ca="1" si="3"/>
        <v>32.54101770833222</v>
      </c>
    </row>
    <row r="257" spans="1:12" x14ac:dyDescent="0.2">
      <c r="A257" s="2" t="s">
        <v>417</v>
      </c>
      <c r="B257" s="3">
        <v>46246.345833333333</v>
      </c>
      <c r="C257" s="2" t="s">
        <v>12</v>
      </c>
      <c r="D257" s="2" t="s">
        <v>418</v>
      </c>
      <c r="E257" s="2">
        <v>2</v>
      </c>
      <c r="F257" s="2">
        <v>181</v>
      </c>
      <c r="G257" s="2">
        <v>0</v>
      </c>
      <c r="H257" s="2">
        <v>181</v>
      </c>
      <c r="I257" s="2">
        <v>15</v>
      </c>
      <c r="J257" s="2" t="s">
        <v>14</v>
      </c>
      <c r="K257" s="2">
        <f>VLOOKUP(A:A,[1]XuanStockQAResults!$A:$C,3,0)</f>
        <v>181</v>
      </c>
      <c r="L257" s="4">
        <f t="shared" ca="1" si="3"/>
        <v>2.6035177083322196</v>
      </c>
    </row>
    <row r="258" spans="1:12" x14ac:dyDescent="0.2">
      <c r="A258" s="2" t="s">
        <v>419</v>
      </c>
      <c r="B258" s="3">
        <v>46246.370138888888</v>
      </c>
      <c r="C258" s="2" t="s">
        <v>12</v>
      </c>
      <c r="D258" s="2" t="s">
        <v>270</v>
      </c>
      <c r="E258" s="2">
        <v>2</v>
      </c>
      <c r="F258" s="2">
        <v>5</v>
      </c>
      <c r="G258" s="2">
        <v>0</v>
      </c>
      <c r="H258" s="2">
        <v>5</v>
      </c>
      <c r="I258" s="2">
        <v>5</v>
      </c>
      <c r="J258" s="2" t="s">
        <v>14</v>
      </c>
      <c r="K258" s="2">
        <f>VLOOKUP(A:A,[1]XuanStockQAResults!$A:$C,3,0)</f>
        <v>5</v>
      </c>
      <c r="L258" s="4">
        <f t="shared" ca="1" si="3"/>
        <v>2.5792121527774725</v>
      </c>
    </row>
    <row r="259" spans="1:12" x14ac:dyDescent="0.2">
      <c r="A259" s="2" t="s">
        <v>420</v>
      </c>
      <c r="B259" s="3">
        <v>46246.370833333334</v>
      </c>
      <c r="C259" s="2" t="s">
        <v>12</v>
      </c>
      <c r="D259" s="2" t="s">
        <v>421</v>
      </c>
      <c r="E259" s="2">
        <v>1</v>
      </c>
      <c r="F259" s="2">
        <v>5</v>
      </c>
      <c r="G259" s="2">
        <v>0</v>
      </c>
      <c r="H259" s="2">
        <v>5</v>
      </c>
      <c r="I259" s="2">
        <v>5</v>
      </c>
      <c r="J259" s="2" t="s">
        <v>14</v>
      </c>
      <c r="K259" s="2">
        <f>VLOOKUP(A:A,[1]XuanStockQAResults!$A:$C,3,0)</f>
        <v>5</v>
      </c>
      <c r="L259" s="4">
        <f t="shared" ref="L259:L322" ca="1" si="4">NOW()-B259</f>
        <v>2.5785177083307644</v>
      </c>
    </row>
    <row r="260" spans="1:12" x14ac:dyDescent="0.2">
      <c r="A260" s="2" t="s">
        <v>422</v>
      </c>
      <c r="B260" s="3">
        <v>46234.600694444445</v>
      </c>
      <c r="C260" s="2" t="s">
        <v>10</v>
      </c>
      <c r="D260" s="2" t="s">
        <v>423</v>
      </c>
      <c r="E260" s="2">
        <v>2</v>
      </c>
      <c r="F260" s="2">
        <v>100</v>
      </c>
      <c r="G260" s="2">
        <v>0</v>
      </c>
      <c r="H260" s="2">
        <v>100</v>
      </c>
      <c r="I260" s="2">
        <v>10</v>
      </c>
      <c r="J260" s="2" t="s">
        <v>11</v>
      </c>
      <c r="K260" s="2">
        <f>VLOOKUP(A:A,[1]XuanStockQAResults!$A:$C,3,0)</f>
        <v>100</v>
      </c>
      <c r="L260" s="4">
        <f t="shared" ca="1" si="4"/>
        <v>14.348656597219815</v>
      </c>
    </row>
    <row r="261" spans="1:12" x14ac:dyDescent="0.2">
      <c r="A261" s="2" t="s">
        <v>424</v>
      </c>
      <c r="B261" s="3">
        <v>46206.368750000001</v>
      </c>
      <c r="C261" s="2" t="s">
        <v>12</v>
      </c>
      <c r="D261" s="2" t="s">
        <v>425</v>
      </c>
      <c r="E261" s="2">
        <v>1</v>
      </c>
      <c r="F261" s="2">
        <v>50</v>
      </c>
      <c r="G261" s="2">
        <v>0</v>
      </c>
      <c r="H261" s="2">
        <v>50</v>
      </c>
      <c r="I261" s="2">
        <v>5</v>
      </c>
      <c r="J261" s="2" t="s">
        <v>14</v>
      </c>
      <c r="K261" s="2">
        <f>VLOOKUP(A:A,[1]XuanStockQAResults!$A:$C,3,0)</f>
        <v>56</v>
      </c>
      <c r="L261" s="4">
        <f t="shared" ca="1" si="4"/>
        <v>42.580601041663613</v>
      </c>
    </row>
    <row r="262" spans="1:12" x14ac:dyDescent="0.2">
      <c r="A262" s="2" t="s">
        <v>426</v>
      </c>
      <c r="B262" s="3">
        <v>46248.604861111111</v>
      </c>
      <c r="C262" s="2" t="s">
        <v>12</v>
      </c>
      <c r="D262" s="2" t="s">
        <v>427</v>
      </c>
      <c r="E262" s="2">
        <v>1</v>
      </c>
      <c r="F262" s="2">
        <v>198</v>
      </c>
      <c r="G262" s="2">
        <v>0</v>
      </c>
      <c r="H262" s="2">
        <v>198</v>
      </c>
      <c r="I262" s="2">
        <v>16</v>
      </c>
      <c r="J262" s="2" t="s">
        <v>14</v>
      </c>
      <c r="K262" s="2">
        <f>VLOOKUP(A:A,[1]XuanStockQAResults!$A:$C,3,0)</f>
        <v>198</v>
      </c>
      <c r="L262" s="4">
        <f t="shared" ca="1" si="4"/>
        <v>0.34448993055411847</v>
      </c>
    </row>
    <row r="263" spans="1:12" x14ac:dyDescent="0.2">
      <c r="A263" s="2" t="s">
        <v>428</v>
      </c>
      <c r="B263" s="3">
        <v>46246.538888888892</v>
      </c>
      <c r="C263" s="2" t="s">
        <v>12</v>
      </c>
      <c r="D263" s="2" t="s">
        <v>429</v>
      </c>
      <c r="E263" s="2">
        <v>1</v>
      </c>
      <c r="F263" s="2">
        <v>105</v>
      </c>
      <c r="G263" s="2">
        <v>0</v>
      </c>
      <c r="H263" s="2">
        <v>105</v>
      </c>
      <c r="I263" s="2">
        <v>9</v>
      </c>
      <c r="J263" s="2" t="s">
        <v>14</v>
      </c>
      <c r="K263" s="2">
        <f>VLOOKUP(A:A,[1]XuanStockQAResults!$A:$C,3,0)</f>
        <v>105</v>
      </c>
      <c r="L263" s="4">
        <f t="shared" ca="1" si="4"/>
        <v>2.4104621527731069</v>
      </c>
    </row>
    <row r="264" spans="1:12" x14ac:dyDescent="0.2">
      <c r="A264" s="2" t="s">
        <v>430</v>
      </c>
      <c r="B264" s="3">
        <v>46238.545138888891</v>
      </c>
      <c r="C264" s="2" t="s">
        <v>12</v>
      </c>
      <c r="D264" s="2" t="s">
        <v>391</v>
      </c>
      <c r="E264" s="2">
        <v>2</v>
      </c>
      <c r="F264" s="2">
        <v>50</v>
      </c>
      <c r="G264" s="2">
        <v>0</v>
      </c>
      <c r="H264" s="2">
        <v>50</v>
      </c>
      <c r="I264" s="2">
        <v>5</v>
      </c>
      <c r="J264" s="2" t="s">
        <v>14</v>
      </c>
      <c r="K264" s="2">
        <f>VLOOKUP(A:A,[1]XuanStockQAResults!$A:$C,3,0)</f>
        <v>50</v>
      </c>
      <c r="L264" s="4">
        <f t="shared" ca="1" si="4"/>
        <v>10.404212152774562</v>
      </c>
    </row>
    <row r="265" spans="1:12" x14ac:dyDescent="0.2">
      <c r="A265" s="2" t="s">
        <v>431</v>
      </c>
      <c r="B265" s="3">
        <v>46232.332638888889</v>
      </c>
      <c r="C265" s="2" t="s">
        <v>10</v>
      </c>
      <c r="D265" s="2" t="s">
        <v>432</v>
      </c>
      <c r="E265" s="2">
        <v>1</v>
      </c>
      <c r="F265" s="2">
        <v>5</v>
      </c>
      <c r="G265" s="2">
        <v>0</v>
      </c>
      <c r="H265" s="2">
        <v>5</v>
      </c>
      <c r="I265" s="2">
        <v>5</v>
      </c>
      <c r="J265" s="2" t="s">
        <v>14</v>
      </c>
      <c r="K265" s="2">
        <f>VLOOKUP(A:A,[1]XuanStockQAResults!$A:$C,3,0)</f>
        <v>10</v>
      </c>
      <c r="L265" s="4">
        <f t="shared" ca="1" si="4"/>
        <v>16.616712152776017</v>
      </c>
    </row>
    <row r="266" spans="1:12" x14ac:dyDescent="0.2">
      <c r="A266" s="2" t="s">
        <v>433</v>
      </c>
      <c r="B266" s="3">
        <v>46248.635416666664</v>
      </c>
      <c r="C266" s="2" t="s">
        <v>12</v>
      </c>
      <c r="D266" s="2" t="s">
        <v>434</v>
      </c>
      <c r="E266" s="2">
        <v>1</v>
      </c>
      <c r="F266" s="2">
        <v>110</v>
      </c>
      <c r="G266" s="2">
        <v>0</v>
      </c>
      <c r="H266" s="2">
        <v>110</v>
      </c>
      <c r="I266" s="2">
        <v>9</v>
      </c>
      <c r="J266" s="2" t="s">
        <v>14</v>
      </c>
      <c r="K266" s="2">
        <f>VLOOKUP(A:A,[1]XuanStockQAResults!$A:$C,3,0)</f>
        <v>110</v>
      </c>
      <c r="L266" s="4">
        <f t="shared" ca="1" si="4"/>
        <v>0.31393437500082655</v>
      </c>
    </row>
    <row r="267" spans="1:12" x14ac:dyDescent="0.2">
      <c r="A267" s="2" t="s">
        <v>435</v>
      </c>
      <c r="B267" s="3">
        <v>46230.306944444441</v>
      </c>
      <c r="C267" s="2" t="s">
        <v>12</v>
      </c>
      <c r="D267" s="2" t="s">
        <v>436</v>
      </c>
      <c r="E267" s="2">
        <v>1</v>
      </c>
      <c r="F267" s="2">
        <v>102</v>
      </c>
      <c r="G267" s="2">
        <v>0</v>
      </c>
      <c r="H267" s="2">
        <v>102</v>
      </c>
      <c r="I267" s="2">
        <v>9</v>
      </c>
      <c r="J267" s="2" t="s">
        <v>14</v>
      </c>
      <c r="K267" s="2">
        <f>VLOOKUP(A:A,[1]XuanStockQAResults!$A:$C,3,0)</f>
        <v>205</v>
      </c>
      <c r="L267" s="4">
        <f t="shared" ca="1" si="4"/>
        <v>18.642406597224181</v>
      </c>
    </row>
    <row r="268" spans="1:12" x14ac:dyDescent="0.2">
      <c r="A268" s="2" t="s">
        <v>435</v>
      </c>
      <c r="B268" s="3">
        <v>46237.43472222222</v>
      </c>
      <c r="C268" s="2" t="s">
        <v>12</v>
      </c>
      <c r="D268" s="2" t="s">
        <v>437</v>
      </c>
      <c r="E268" s="2">
        <v>2</v>
      </c>
      <c r="F268" s="2">
        <v>103</v>
      </c>
      <c r="G268" s="2">
        <v>0</v>
      </c>
      <c r="H268" s="2">
        <v>103</v>
      </c>
      <c r="I268" s="2">
        <v>9</v>
      </c>
      <c r="J268" s="2" t="s">
        <v>14</v>
      </c>
      <c r="K268" s="2">
        <f>VLOOKUP(A:A,[1]XuanStockQAResults!$A:$C,3,0)</f>
        <v>205</v>
      </c>
      <c r="L268" s="4">
        <f t="shared" ca="1" si="4"/>
        <v>11.514628819444624</v>
      </c>
    </row>
    <row r="269" spans="1:12" x14ac:dyDescent="0.2">
      <c r="A269" s="2" t="s">
        <v>438</v>
      </c>
      <c r="B269" s="3">
        <v>46245.338194444441</v>
      </c>
      <c r="C269" s="2" t="s">
        <v>12</v>
      </c>
      <c r="D269" s="2" t="s">
        <v>439</v>
      </c>
      <c r="E269" s="2">
        <v>1</v>
      </c>
      <c r="F269" s="2">
        <v>20</v>
      </c>
      <c r="G269" s="2">
        <v>0</v>
      </c>
      <c r="H269" s="2">
        <v>20</v>
      </c>
      <c r="I269" s="2">
        <v>4</v>
      </c>
      <c r="J269" s="2" t="s">
        <v>14</v>
      </c>
      <c r="K269" s="2">
        <f>VLOOKUP(A:A,[1]XuanStockQAResults!$A:$C,3,0)</f>
        <v>20</v>
      </c>
      <c r="L269" s="4">
        <f t="shared" ca="1" si="4"/>
        <v>3.6111565972241806</v>
      </c>
    </row>
    <row r="270" spans="1:12" x14ac:dyDescent="0.2">
      <c r="A270" s="2" t="s">
        <v>440</v>
      </c>
      <c r="B270" s="3">
        <v>46245.40902777778</v>
      </c>
      <c r="C270" s="2" t="s">
        <v>12</v>
      </c>
      <c r="D270" s="2" t="s">
        <v>441</v>
      </c>
      <c r="E270" s="2">
        <v>23</v>
      </c>
      <c r="F270" s="2">
        <v>1608</v>
      </c>
      <c r="G270" s="2">
        <v>0</v>
      </c>
      <c r="H270" s="2">
        <v>1608</v>
      </c>
      <c r="I270" s="2">
        <v>49</v>
      </c>
      <c r="J270" s="2" t="s">
        <v>14</v>
      </c>
      <c r="K270" s="2">
        <f>VLOOKUP(A:A,[1]XuanStockQAResults!$A:$C,3,0)</f>
        <v>1608</v>
      </c>
      <c r="L270" s="4">
        <f t="shared" ca="1" si="4"/>
        <v>3.5403232638855116</v>
      </c>
    </row>
    <row r="271" spans="1:12" x14ac:dyDescent="0.2">
      <c r="A271" s="2" t="s">
        <v>442</v>
      </c>
      <c r="B271" s="3">
        <v>46238.370833333334</v>
      </c>
      <c r="C271" s="2" t="s">
        <v>12</v>
      </c>
      <c r="D271" s="2" t="s">
        <v>443</v>
      </c>
      <c r="E271" s="2">
        <v>1</v>
      </c>
      <c r="F271" s="2">
        <v>500</v>
      </c>
      <c r="G271" s="2">
        <v>0</v>
      </c>
      <c r="H271" s="2">
        <v>500</v>
      </c>
      <c r="I271" s="2">
        <v>30</v>
      </c>
      <c r="J271" s="2" t="s">
        <v>14</v>
      </c>
      <c r="K271" s="2">
        <f>VLOOKUP(A:A,[1]XuanStockQAResults!$A:$C,3,0)</f>
        <v>500</v>
      </c>
      <c r="L271" s="4">
        <f t="shared" ca="1" si="4"/>
        <v>10.578517708330764</v>
      </c>
    </row>
    <row r="272" spans="1:12" x14ac:dyDescent="0.2">
      <c r="A272" s="2" t="s">
        <v>444</v>
      </c>
      <c r="B272" s="3">
        <v>46248.638194444444</v>
      </c>
      <c r="C272" s="2" t="s">
        <v>10</v>
      </c>
      <c r="D272" s="2" t="s">
        <v>445</v>
      </c>
      <c r="E272" s="2">
        <v>1</v>
      </c>
      <c r="F272" s="2">
        <v>62</v>
      </c>
      <c r="G272" s="2">
        <v>0</v>
      </c>
      <c r="H272" s="2">
        <v>62</v>
      </c>
      <c r="I272" s="2">
        <v>7</v>
      </c>
      <c r="J272" s="2" t="s">
        <v>14</v>
      </c>
      <c r="K272" s="2">
        <f>VLOOKUP(A:A,[1]XuanStockQAResults!$A:$C,3,0)</f>
        <v>62</v>
      </c>
      <c r="L272" s="4">
        <f t="shared" ca="1" si="4"/>
        <v>0.3111565972212702</v>
      </c>
    </row>
    <row r="273" spans="1:12" x14ac:dyDescent="0.2">
      <c r="A273" s="2" t="s">
        <v>446</v>
      </c>
      <c r="B273" s="3">
        <v>46227.518750000003</v>
      </c>
      <c r="C273" s="2" t="s">
        <v>10</v>
      </c>
      <c r="D273" s="2" t="s">
        <v>447</v>
      </c>
      <c r="E273" s="2">
        <v>1</v>
      </c>
      <c r="F273" s="2">
        <v>210</v>
      </c>
      <c r="G273" s="2">
        <v>0</v>
      </c>
      <c r="H273" s="2">
        <v>210</v>
      </c>
      <c r="I273" s="2">
        <v>13</v>
      </c>
      <c r="J273" s="2" t="s">
        <v>14</v>
      </c>
      <c r="K273" s="2">
        <f>VLOOKUP(A:A,[1]XuanStockQAResults!$A:$C,3,0)</f>
        <v>605</v>
      </c>
      <c r="L273" s="4">
        <f t="shared" ca="1" si="4"/>
        <v>21.430601041662158</v>
      </c>
    </row>
    <row r="274" spans="1:12" x14ac:dyDescent="0.2">
      <c r="A274" s="2" t="s">
        <v>446</v>
      </c>
      <c r="B274" s="3">
        <v>46241.35833333333</v>
      </c>
      <c r="C274" s="2" t="s">
        <v>10</v>
      </c>
      <c r="D274" s="2" t="s">
        <v>448</v>
      </c>
      <c r="E274" s="2">
        <v>1</v>
      </c>
      <c r="F274" s="2">
        <v>290</v>
      </c>
      <c r="G274" s="2">
        <v>0</v>
      </c>
      <c r="H274" s="2">
        <v>290</v>
      </c>
      <c r="I274" s="2">
        <v>18</v>
      </c>
      <c r="J274" s="2" t="s">
        <v>14</v>
      </c>
      <c r="K274" s="2">
        <f>VLOOKUP(A:A,[1]XuanStockQAResults!$A:$C,3,0)</f>
        <v>605</v>
      </c>
      <c r="L274" s="4">
        <f t="shared" ca="1" si="4"/>
        <v>7.59101770833513</v>
      </c>
    </row>
    <row r="275" spans="1:12" x14ac:dyDescent="0.2">
      <c r="A275" s="2" t="s">
        <v>446</v>
      </c>
      <c r="B275" s="3">
        <v>46241.359722222223</v>
      </c>
      <c r="C275" s="2" t="s">
        <v>10</v>
      </c>
      <c r="D275" s="2" t="s">
        <v>449</v>
      </c>
      <c r="E275" s="2">
        <v>1</v>
      </c>
      <c r="F275" s="2">
        <v>105</v>
      </c>
      <c r="G275" s="2">
        <v>0</v>
      </c>
      <c r="H275" s="2">
        <v>105</v>
      </c>
      <c r="I275" s="2">
        <v>9</v>
      </c>
      <c r="J275" s="2" t="s">
        <v>14</v>
      </c>
      <c r="K275" s="2">
        <f>VLOOKUP(A:A,[1]XuanStockQAResults!$A:$C,3,0)</f>
        <v>605</v>
      </c>
      <c r="L275" s="4">
        <f t="shared" ca="1" si="4"/>
        <v>7.5896288194417139</v>
      </c>
    </row>
    <row r="276" spans="1:12" x14ac:dyDescent="0.2">
      <c r="A276" s="2" t="s">
        <v>450</v>
      </c>
      <c r="B276" s="3">
        <v>46227.519444444442</v>
      </c>
      <c r="C276" s="2" t="s">
        <v>10</v>
      </c>
      <c r="D276" s="2" t="s">
        <v>451</v>
      </c>
      <c r="E276" s="2">
        <v>1</v>
      </c>
      <c r="F276" s="2">
        <v>44</v>
      </c>
      <c r="G276" s="2">
        <v>0</v>
      </c>
      <c r="H276" s="2">
        <v>44</v>
      </c>
      <c r="I276" s="2">
        <v>5</v>
      </c>
      <c r="J276" s="2" t="s">
        <v>14</v>
      </c>
      <c r="K276" s="2">
        <f>VLOOKUP(A:A,[1]XuanStockQAResults!$A:$C,3,0)</f>
        <v>44</v>
      </c>
      <c r="L276" s="4">
        <f t="shared" ca="1" si="4"/>
        <v>21.429906597222725</v>
      </c>
    </row>
    <row r="277" spans="1:12" x14ac:dyDescent="0.2">
      <c r="A277" s="2" t="s">
        <v>452</v>
      </c>
      <c r="B277" s="3">
        <v>46225.430555555555</v>
      </c>
      <c r="C277" s="2" t="s">
        <v>10</v>
      </c>
      <c r="D277" s="2" t="s">
        <v>453</v>
      </c>
      <c r="E277" s="2">
        <v>1</v>
      </c>
      <c r="F277" s="2">
        <v>116</v>
      </c>
      <c r="G277" s="2">
        <v>0</v>
      </c>
      <c r="H277" s="2">
        <v>116</v>
      </c>
      <c r="I277" s="2">
        <v>10</v>
      </c>
      <c r="J277" s="2" t="s">
        <v>14</v>
      </c>
      <c r="K277" s="2">
        <f>VLOOKUP(A:A,[1]XuanStockQAResults!$A:$C,3,0)</f>
        <v>1343</v>
      </c>
      <c r="L277" s="4">
        <f t="shared" ca="1" si="4"/>
        <v>23.518795486110321</v>
      </c>
    </row>
    <row r="278" spans="1:12" x14ac:dyDescent="0.2">
      <c r="A278" s="2" t="s">
        <v>452</v>
      </c>
      <c r="B278" s="3">
        <v>46225.431250000001</v>
      </c>
      <c r="C278" s="2" t="s">
        <v>10</v>
      </c>
      <c r="D278" s="2" t="s">
        <v>454</v>
      </c>
      <c r="E278" s="2">
        <v>1</v>
      </c>
      <c r="F278" s="2">
        <v>500</v>
      </c>
      <c r="G278" s="2">
        <v>0</v>
      </c>
      <c r="H278" s="2">
        <v>500</v>
      </c>
      <c r="I278" s="2">
        <v>30</v>
      </c>
      <c r="J278" s="2" t="s">
        <v>14</v>
      </c>
      <c r="K278" s="2">
        <f>VLOOKUP(A:A,[1]XuanStockQAResults!$A:$C,3,0)</f>
        <v>1343</v>
      </c>
      <c r="L278" s="4">
        <f t="shared" ca="1" si="4"/>
        <v>23.518101041663613</v>
      </c>
    </row>
    <row r="279" spans="1:12" x14ac:dyDescent="0.2">
      <c r="A279" s="2" t="s">
        <v>452</v>
      </c>
      <c r="B279" s="3">
        <v>46225.431250000001</v>
      </c>
      <c r="C279" s="2" t="s">
        <v>10</v>
      </c>
      <c r="D279" s="2" t="s">
        <v>455</v>
      </c>
      <c r="E279" s="2">
        <v>1</v>
      </c>
      <c r="F279" s="2">
        <v>500</v>
      </c>
      <c r="G279" s="2">
        <v>0</v>
      </c>
      <c r="H279" s="2">
        <v>500</v>
      </c>
      <c r="I279" s="2">
        <v>30</v>
      </c>
      <c r="J279" s="2" t="s">
        <v>14</v>
      </c>
      <c r="K279" s="2">
        <f>VLOOKUP(A:A,[1]XuanStockQAResults!$A:$C,3,0)</f>
        <v>1343</v>
      </c>
      <c r="L279" s="4">
        <f t="shared" ca="1" si="4"/>
        <v>23.518101041663613</v>
      </c>
    </row>
    <row r="280" spans="1:12" x14ac:dyDescent="0.2">
      <c r="A280" s="2" t="s">
        <v>452</v>
      </c>
      <c r="B280" s="3">
        <v>46225.431944444441</v>
      </c>
      <c r="C280" s="2" t="s">
        <v>10</v>
      </c>
      <c r="D280" s="2" t="s">
        <v>456</v>
      </c>
      <c r="E280" s="2">
        <v>1</v>
      </c>
      <c r="F280" s="2">
        <v>227</v>
      </c>
      <c r="G280" s="2">
        <v>0</v>
      </c>
      <c r="H280" s="2">
        <v>227</v>
      </c>
      <c r="I280" s="2">
        <v>14</v>
      </c>
      <c r="J280" s="2" t="s">
        <v>14</v>
      </c>
      <c r="K280" s="2">
        <f>VLOOKUP(A:A,[1]XuanStockQAResults!$A:$C,3,0)</f>
        <v>1343</v>
      </c>
      <c r="L280" s="4">
        <f t="shared" ca="1" si="4"/>
        <v>23.517406597224181</v>
      </c>
    </row>
    <row r="281" spans="1:12" x14ac:dyDescent="0.2">
      <c r="A281" s="2" t="s">
        <v>457</v>
      </c>
      <c r="B281" s="3">
        <v>46248.638194444444</v>
      </c>
      <c r="C281" s="2" t="s">
        <v>10</v>
      </c>
      <c r="D281" s="2" t="s">
        <v>445</v>
      </c>
      <c r="E281" s="2">
        <v>2</v>
      </c>
      <c r="F281" s="2">
        <v>1050</v>
      </c>
      <c r="G281" s="2">
        <v>0</v>
      </c>
      <c r="H281" s="2">
        <v>1050</v>
      </c>
      <c r="I281" s="2">
        <v>32</v>
      </c>
      <c r="J281" s="2" t="s">
        <v>14</v>
      </c>
      <c r="K281" s="2">
        <f>VLOOKUP(A:A,[1]XuanStockQAResults!$A:$C,3,0)</f>
        <v>1050</v>
      </c>
      <c r="L281" s="4">
        <f t="shared" ca="1" si="4"/>
        <v>0.3111565972212702</v>
      </c>
    </row>
    <row r="282" spans="1:12" x14ac:dyDescent="0.2">
      <c r="A282" s="2" t="s">
        <v>458</v>
      </c>
      <c r="B282" s="3">
        <v>46238.602777777778</v>
      </c>
      <c r="C282" s="2" t="s">
        <v>12</v>
      </c>
      <c r="D282" s="2" t="s">
        <v>459</v>
      </c>
      <c r="E282" s="2">
        <v>1</v>
      </c>
      <c r="F282" s="2">
        <v>730</v>
      </c>
      <c r="G282" s="2">
        <v>0</v>
      </c>
      <c r="H282" s="2">
        <v>730</v>
      </c>
      <c r="I282" s="2">
        <v>30</v>
      </c>
      <c r="J282" s="2" t="s">
        <v>14</v>
      </c>
      <c r="K282" s="2">
        <f>VLOOKUP(A:A,[1]XuanStockQAResults!$A:$C,3,0)</f>
        <v>1255</v>
      </c>
      <c r="L282" s="4">
        <f t="shared" ca="1" si="4"/>
        <v>10.346573263886967</v>
      </c>
    </row>
    <row r="283" spans="1:12" x14ac:dyDescent="0.2">
      <c r="A283" s="2" t="s">
        <v>458</v>
      </c>
      <c r="B283" s="3">
        <v>46238.602777777778</v>
      </c>
      <c r="C283" s="2" t="s">
        <v>12</v>
      </c>
      <c r="D283" s="2" t="s">
        <v>459</v>
      </c>
      <c r="E283" s="2">
        <v>2</v>
      </c>
      <c r="F283" s="2">
        <v>525</v>
      </c>
      <c r="G283" s="2">
        <v>0</v>
      </c>
      <c r="H283" s="2">
        <v>525</v>
      </c>
      <c r="I283" s="2">
        <v>21</v>
      </c>
      <c r="J283" s="2" t="s">
        <v>14</v>
      </c>
      <c r="K283" s="2">
        <f>VLOOKUP(A:A,[1]XuanStockQAResults!$A:$C,3,0)</f>
        <v>1255</v>
      </c>
      <c r="L283" s="4">
        <f t="shared" ca="1" si="4"/>
        <v>10.346573263886967</v>
      </c>
    </row>
    <row r="284" spans="1:12" x14ac:dyDescent="0.2">
      <c r="A284" s="2" t="s">
        <v>460</v>
      </c>
      <c r="B284" s="3">
        <v>46248.638194444444</v>
      </c>
      <c r="C284" s="2" t="s">
        <v>10</v>
      </c>
      <c r="D284" s="2" t="s">
        <v>461</v>
      </c>
      <c r="E284" s="2">
        <v>1</v>
      </c>
      <c r="F284" s="2">
        <v>184</v>
      </c>
      <c r="G284" s="2">
        <v>0</v>
      </c>
      <c r="H284" s="2">
        <v>184</v>
      </c>
      <c r="I284" s="2">
        <v>15</v>
      </c>
      <c r="J284" s="2" t="s">
        <v>14</v>
      </c>
      <c r="K284" s="2">
        <f>VLOOKUP(A:A,[1]XuanStockQAResults!$A:$C,3,0)</f>
        <v>184</v>
      </c>
      <c r="L284" s="4">
        <f t="shared" ca="1" si="4"/>
        <v>0.3111565972212702</v>
      </c>
    </row>
    <row r="285" spans="1:12" x14ac:dyDescent="0.2">
      <c r="A285" s="2" t="s">
        <v>462</v>
      </c>
      <c r="B285" s="3">
        <v>46245.51458333333</v>
      </c>
      <c r="C285" s="2" t="s">
        <v>10</v>
      </c>
      <c r="D285" s="2" t="s">
        <v>463</v>
      </c>
      <c r="E285" s="2">
        <v>1</v>
      </c>
      <c r="F285" s="2">
        <v>3</v>
      </c>
      <c r="G285" s="2">
        <v>0</v>
      </c>
      <c r="H285" s="2">
        <v>3</v>
      </c>
      <c r="I285" s="2">
        <v>3</v>
      </c>
      <c r="J285" s="2" t="s">
        <v>14</v>
      </c>
      <c r="K285" s="2">
        <f>VLOOKUP(A:A,[1]XuanStockQAResults!$A:$C,3,0)</f>
        <v>3</v>
      </c>
      <c r="L285" s="4">
        <f t="shared" ca="1" si="4"/>
        <v>3.43476770833513</v>
      </c>
    </row>
    <row r="286" spans="1:12" x14ac:dyDescent="0.2">
      <c r="A286" s="2" t="s">
        <v>464</v>
      </c>
      <c r="B286" s="3">
        <v>46244.536805555559</v>
      </c>
      <c r="C286" s="2" t="s">
        <v>12</v>
      </c>
      <c r="D286" s="2" t="s">
        <v>26</v>
      </c>
      <c r="E286" s="2">
        <v>4</v>
      </c>
      <c r="F286" s="2">
        <v>300</v>
      </c>
      <c r="G286" s="2">
        <v>0</v>
      </c>
      <c r="H286" s="2">
        <v>300</v>
      </c>
      <c r="I286" s="2">
        <v>18</v>
      </c>
      <c r="J286" s="2" t="s">
        <v>14</v>
      </c>
      <c r="K286" s="2">
        <f>VLOOKUP(A:A,[1]XuanStockQAResults!$A:$C,3,0)</f>
        <v>300</v>
      </c>
      <c r="L286" s="4">
        <f t="shared" ca="1" si="4"/>
        <v>4.4125454861059552</v>
      </c>
    </row>
    <row r="287" spans="1:12" x14ac:dyDescent="0.2">
      <c r="A287" s="2" t="s">
        <v>465</v>
      </c>
      <c r="B287" s="3">
        <v>46227.604166666664</v>
      </c>
      <c r="C287" s="2" t="s">
        <v>12</v>
      </c>
      <c r="D287" s="2" t="s">
        <v>466</v>
      </c>
      <c r="E287" s="2">
        <v>1</v>
      </c>
      <c r="F287" s="2">
        <v>100</v>
      </c>
      <c r="G287" s="2">
        <v>0</v>
      </c>
      <c r="H287" s="2">
        <v>100</v>
      </c>
      <c r="I287" s="2">
        <v>10</v>
      </c>
      <c r="J287" s="2" t="s">
        <v>14</v>
      </c>
      <c r="K287" s="2">
        <f>VLOOKUP(A:A,[1]XuanStockQAResults!$A:$C,3,0)</f>
        <v>100</v>
      </c>
      <c r="L287" s="4">
        <f t="shared" ca="1" si="4"/>
        <v>21.345184375000827</v>
      </c>
    </row>
    <row r="288" spans="1:12" x14ac:dyDescent="0.2">
      <c r="A288" s="2" t="s">
        <v>467</v>
      </c>
      <c r="B288" s="3">
        <v>46227.604166666664</v>
      </c>
      <c r="C288" s="2" t="s">
        <v>12</v>
      </c>
      <c r="D288" s="2" t="s">
        <v>466</v>
      </c>
      <c r="E288" s="2">
        <v>2</v>
      </c>
      <c r="F288" s="2">
        <v>100</v>
      </c>
      <c r="G288" s="2">
        <v>0</v>
      </c>
      <c r="H288" s="2">
        <v>100</v>
      </c>
      <c r="I288" s="2">
        <v>10</v>
      </c>
      <c r="J288" s="2" t="s">
        <v>14</v>
      </c>
      <c r="K288" s="2">
        <f>VLOOKUP(A:A,[1]XuanStockQAResults!$A:$C,3,0)</f>
        <v>100</v>
      </c>
      <c r="L288" s="4">
        <f t="shared" ca="1" si="4"/>
        <v>21.345184375000827</v>
      </c>
    </row>
    <row r="289" spans="1:12" x14ac:dyDescent="0.2">
      <c r="A289" s="2" t="s">
        <v>468</v>
      </c>
      <c r="B289" s="3">
        <v>46240.340277777781</v>
      </c>
      <c r="C289" s="2" t="s">
        <v>12</v>
      </c>
      <c r="D289" s="2" t="s">
        <v>469</v>
      </c>
      <c r="E289" s="2">
        <v>1</v>
      </c>
      <c r="F289" s="2">
        <v>42</v>
      </c>
      <c r="G289" s="2">
        <v>0</v>
      </c>
      <c r="H289" s="2">
        <v>42</v>
      </c>
      <c r="I289" s="2">
        <v>5</v>
      </c>
      <c r="J289" s="2" t="s">
        <v>14</v>
      </c>
      <c r="K289" s="2">
        <f>VLOOKUP(A:A,[1]XuanStockQAResults!$A:$C,3,0)</f>
        <v>42</v>
      </c>
      <c r="L289" s="4">
        <f t="shared" ca="1" si="4"/>
        <v>8.6090732638840564</v>
      </c>
    </row>
    <row r="290" spans="1:12" x14ac:dyDescent="0.2">
      <c r="A290" s="2" t="s">
        <v>470</v>
      </c>
      <c r="B290" s="3">
        <v>46240.340277777781</v>
      </c>
      <c r="C290" s="2" t="s">
        <v>12</v>
      </c>
      <c r="D290" s="2" t="s">
        <v>469</v>
      </c>
      <c r="E290" s="2">
        <v>2</v>
      </c>
      <c r="F290" s="2">
        <v>50</v>
      </c>
      <c r="G290" s="2">
        <v>0</v>
      </c>
      <c r="H290" s="2">
        <v>50</v>
      </c>
      <c r="I290" s="2">
        <v>5</v>
      </c>
      <c r="J290" s="2" t="s">
        <v>14</v>
      </c>
      <c r="K290" s="2">
        <f>VLOOKUP(A:A,[1]XuanStockQAResults!$A:$C,3,0)</f>
        <v>108</v>
      </c>
      <c r="L290" s="4">
        <f t="shared" ca="1" si="4"/>
        <v>8.6090732638840564</v>
      </c>
    </row>
    <row r="291" spans="1:12" x14ac:dyDescent="0.2">
      <c r="A291" s="2" t="s">
        <v>470</v>
      </c>
      <c r="B291" s="3">
        <v>46240.340277777781</v>
      </c>
      <c r="C291" s="2" t="s">
        <v>12</v>
      </c>
      <c r="D291" s="2" t="s">
        <v>471</v>
      </c>
      <c r="E291" s="2">
        <v>1</v>
      </c>
      <c r="F291" s="2">
        <v>58</v>
      </c>
      <c r="G291" s="2">
        <v>0</v>
      </c>
      <c r="H291" s="2">
        <v>58</v>
      </c>
      <c r="I291" s="2">
        <v>6</v>
      </c>
      <c r="J291" s="2" t="s">
        <v>14</v>
      </c>
      <c r="K291" s="2">
        <f>VLOOKUP(A:A,[1]XuanStockQAResults!$A:$C,3,0)</f>
        <v>108</v>
      </c>
      <c r="L291" s="4">
        <f t="shared" ca="1" si="4"/>
        <v>8.6090732638840564</v>
      </c>
    </row>
    <row r="292" spans="1:12" x14ac:dyDescent="0.2">
      <c r="A292" s="2" t="s">
        <v>472</v>
      </c>
      <c r="B292" s="3">
        <v>46240.340277777781</v>
      </c>
      <c r="C292" s="2" t="s">
        <v>12</v>
      </c>
      <c r="D292" s="2" t="s">
        <v>473</v>
      </c>
      <c r="E292" s="2">
        <v>1</v>
      </c>
      <c r="F292" s="2">
        <v>46</v>
      </c>
      <c r="G292" s="2">
        <v>0</v>
      </c>
      <c r="H292" s="2">
        <v>46</v>
      </c>
      <c r="I292" s="2">
        <v>5</v>
      </c>
      <c r="J292" s="2" t="s">
        <v>14</v>
      </c>
      <c r="K292" s="2">
        <f>VLOOKUP(A:A,[1]XuanStockQAResults!$A:$C,3,0)</f>
        <v>46</v>
      </c>
      <c r="L292" s="4">
        <f t="shared" ca="1" si="4"/>
        <v>8.6090732638840564</v>
      </c>
    </row>
    <row r="293" spans="1:12" x14ac:dyDescent="0.2">
      <c r="A293" s="2" t="s">
        <v>474</v>
      </c>
      <c r="B293" s="3">
        <v>46240.340277777781</v>
      </c>
      <c r="C293" s="2" t="s">
        <v>12</v>
      </c>
      <c r="D293" s="2" t="s">
        <v>473</v>
      </c>
      <c r="E293" s="2">
        <v>2</v>
      </c>
      <c r="F293" s="2">
        <v>50</v>
      </c>
      <c r="G293" s="2">
        <v>0</v>
      </c>
      <c r="H293" s="2">
        <v>50</v>
      </c>
      <c r="I293" s="2">
        <v>5</v>
      </c>
      <c r="J293" s="2" t="s">
        <v>14</v>
      </c>
      <c r="K293" s="2">
        <f>VLOOKUP(A:A,[1]XuanStockQAResults!$A:$C,3,0)</f>
        <v>96</v>
      </c>
      <c r="L293" s="4">
        <f t="shared" ca="1" si="4"/>
        <v>8.6090732638840564</v>
      </c>
    </row>
    <row r="294" spans="1:12" x14ac:dyDescent="0.2">
      <c r="A294" s="2" t="s">
        <v>474</v>
      </c>
      <c r="B294" s="3">
        <v>46240.340277777781</v>
      </c>
      <c r="C294" s="2" t="s">
        <v>12</v>
      </c>
      <c r="D294" s="2" t="s">
        <v>471</v>
      </c>
      <c r="E294" s="2">
        <v>2</v>
      </c>
      <c r="F294" s="2">
        <v>46</v>
      </c>
      <c r="G294" s="2">
        <v>0</v>
      </c>
      <c r="H294" s="2">
        <v>46</v>
      </c>
      <c r="I294" s="2">
        <v>5</v>
      </c>
      <c r="J294" s="2" t="s">
        <v>14</v>
      </c>
      <c r="K294" s="2">
        <f>VLOOKUP(A:A,[1]XuanStockQAResults!$A:$C,3,0)</f>
        <v>96</v>
      </c>
      <c r="L294" s="4">
        <f t="shared" ca="1" si="4"/>
        <v>8.6090732638840564</v>
      </c>
    </row>
    <row r="295" spans="1:12" x14ac:dyDescent="0.2">
      <c r="A295" s="2" t="s">
        <v>475</v>
      </c>
      <c r="B295" s="3">
        <v>46240.340277777781</v>
      </c>
      <c r="C295" s="2" t="s">
        <v>12</v>
      </c>
      <c r="D295" s="2" t="s">
        <v>473</v>
      </c>
      <c r="E295" s="2">
        <v>3</v>
      </c>
      <c r="F295" s="2">
        <v>46</v>
      </c>
      <c r="G295" s="2">
        <v>0</v>
      </c>
      <c r="H295" s="2">
        <v>46</v>
      </c>
      <c r="I295" s="2">
        <v>5</v>
      </c>
      <c r="J295" s="2" t="s">
        <v>14</v>
      </c>
      <c r="K295" s="2">
        <f>VLOOKUP(A:A,[1]XuanStockQAResults!$A:$C,3,0)</f>
        <v>46</v>
      </c>
      <c r="L295" s="4">
        <f t="shared" ca="1" si="4"/>
        <v>8.6090732638840564</v>
      </c>
    </row>
    <row r="296" spans="1:12" x14ac:dyDescent="0.2">
      <c r="A296" s="2" t="s">
        <v>476</v>
      </c>
      <c r="B296" s="3">
        <v>46234.643055555556</v>
      </c>
      <c r="C296" s="2" t="s">
        <v>12</v>
      </c>
      <c r="D296" s="2" t="s">
        <v>477</v>
      </c>
      <c r="E296" s="2">
        <v>2</v>
      </c>
      <c r="F296" s="2">
        <v>135</v>
      </c>
      <c r="G296" s="2">
        <v>0</v>
      </c>
      <c r="H296" s="2">
        <v>135</v>
      </c>
      <c r="I296" s="2">
        <v>11</v>
      </c>
      <c r="J296" s="2" t="s">
        <v>14</v>
      </c>
      <c r="K296" s="2">
        <f>VLOOKUP(A:A,[1]XuanStockQAResults!$A:$C,3,0)</f>
        <v>699</v>
      </c>
      <c r="L296" s="4">
        <f t="shared" ca="1" si="4"/>
        <v>14.306295486108866</v>
      </c>
    </row>
    <row r="297" spans="1:12" x14ac:dyDescent="0.2">
      <c r="A297" s="2" t="s">
        <v>476</v>
      </c>
      <c r="B297" s="3">
        <v>46234.643055555556</v>
      </c>
      <c r="C297" s="2" t="s">
        <v>12</v>
      </c>
      <c r="D297" s="2" t="s">
        <v>478</v>
      </c>
      <c r="E297" s="2">
        <v>1</v>
      </c>
      <c r="F297" s="2">
        <v>200</v>
      </c>
      <c r="G297" s="2">
        <v>0</v>
      </c>
      <c r="H297" s="2">
        <v>200</v>
      </c>
      <c r="I297" s="2">
        <v>16</v>
      </c>
      <c r="J297" s="2" t="s">
        <v>14</v>
      </c>
      <c r="K297" s="2">
        <f>VLOOKUP(A:A,[1]XuanStockQAResults!$A:$C,3,0)</f>
        <v>699</v>
      </c>
      <c r="L297" s="4">
        <f t="shared" ca="1" si="4"/>
        <v>14.306295486108866</v>
      </c>
    </row>
    <row r="298" spans="1:12" x14ac:dyDescent="0.2">
      <c r="A298" s="2" t="s">
        <v>476</v>
      </c>
      <c r="B298" s="3">
        <v>46234.643055555556</v>
      </c>
      <c r="C298" s="2" t="s">
        <v>12</v>
      </c>
      <c r="D298" s="2" t="s">
        <v>479</v>
      </c>
      <c r="E298" s="2">
        <v>1</v>
      </c>
      <c r="F298" s="2">
        <v>146</v>
      </c>
      <c r="G298" s="2">
        <v>0</v>
      </c>
      <c r="H298" s="2">
        <v>146</v>
      </c>
      <c r="I298" s="2">
        <v>12</v>
      </c>
      <c r="J298" s="2" t="s">
        <v>14</v>
      </c>
      <c r="K298" s="2">
        <f>VLOOKUP(A:A,[1]XuanStockQAResults!$A:$C,3,0)</f>
        <v>699</v>
      </c>
      <c r="L298" s="4">
        <f t="shared" ca="1" si="4"/>
        <v>14.306295486108866</v>
      </c>
    </row>
    <row r="299" spans="1:12" x14ac:dyDescent="0.2">
      <c r="A299" s="2" t="s">
        <v>480</v>
      </c>
      <c r="B299" s="3">
        <v>46205.537499999999</v>
      </c>
      <c r="C299" s="2" t="s">
        <v>12</v>
      </c>
      <c r="D299" s="2" t="s">
        <v>481</v>
      </c>
      <c r="E299" s="2">
        <v>3</v>
      </c>
      <c r="F299" s="2">
        <v>144</v>
      </c>
      <c r="G299" s="2">
        <v>0</v>
      </c>
      <c r="H299" s="2">
        <v>144</v>
      </c>
      <c r="I299" s="2">
        <v>12</v>
      </c>
      <c r="J299" s="2" t="s">
        <v>14</v>
      </c>
      <c r="K299" s="2">
        <f>VLOOKUP(A:A,[1]XuanStockQAResults!$A:$C,3,0)</f>
        <v>820</v>
      </c>
      <c r="L299" s="4">
        <f t="shared" ca="1" si="4"/>
        <v>43.411851041666523</v>
      </c>
    </row>
    <row r="300" spans="1:12" x14ac:dyDescent="0.2">
      <c r="A300" s="2" t="s">
        <v>480</v>
      </c>
      <c r="B300" s="3">
        <v>46205.537499999999</v>
      </c>
      <c r="C300" s="2" t="s">
        <v>12</v>
      </c>
      <c r="D300" s="2" t="s">
        <v>482</v>
      </c>
      <c r="E300" s="2">
        <v>1</v>
      </c>
      <c r="F300" s="2">
        <v>200</v>
      </c>
      <c r="G300" s="2">
        <v>0</v>
      </c>
      <c r="H300" s="2">
        <v>200</v>
      </c>
      <c r="I300" s="2">
        <v>16</v>
      </c>
      <c r="J300" s="2" t="s">
        <v>14</v>
      </c>
      <c r="K300" s="2">
        <f>VLOOKUP(A:A,[1]XuanStockQAResults!$A:$C,3,0)</f>
        <v>820</v>
      </c>
      <c r="L300" s="4">
        <f t="shared" ca="1" si="4"/>
        <v>43.411851041666523</v>
      </c>
    </row>
    <row r="301" spans="1:12" x14ac:dyDescent="0.2">
      <c r="A301" s="2" t="s">
        <v>480</v>
      </c>
      <c r="B301" s="3">
        <v>46205.537499999999</v>
      </c>
      <c r="C301" s="2" t="s">
        <v>12</v>
      </c>
      <c r="D301" s="2" t="s">
        <v>483</v>
      </c>
      <c r="E301" s="2">
        <v>1</v>
      </c>
      <c r="F301" s="2">
        <v>100</v>
      </c>
      <c r="G301" s="2">
        <v>0</v>
      </c>
      <c r="H301" s="2">
        <v>100</v>
      </c>
      <c r="I301" s="2">
        <v>10</v>
      </c>
      <c r="J301" s="2" t="s">
        <v>14</v>
      </c>
      <c r="K301" s="2">
        <f>VLOOKUP(A:A,[1]XuanStockQAResults!$A:$C,3,0)</f>
        <v>820</v>
      </c>
      <c r="L301" s="4">
        <f t="shared" ca="1" si="4"/>
        <v>43.411851041666523</v>
      </c>
    </row>
    <row r="302" spans="1:12" x14ac:dyDescent="0.2">
      <c r="A302" s="2" t="s">
        <v>480</v>
      </c>
      <c r="B302" s="3">
        <v>46205.537499999999</v>
      </c>
      <c r="C302" s="2" t="s">
        <v>12</v>
      </c>
      <c r="D302" s="2" t="s">
        <v>484</v>
      </c>
      <c r="E302" s="2">
        <v>1</v>
      </c>
      <c r="F302" s="2">
        <v>30</v>
      </c>
      <c r="G302" s="2">
        <v>0</v>
      </c>
      <c r="H302" s="2">
        <v>30</v>
      </c>
      <c r="I302" s="2">
        <v>3</v>
      </c>
      <c r="J302" s="2" t="s">
        <v>14</v>
      </c>
      <c r="K302" s="2">
        <f>VLOOKUP(A:A,[1]XuanStockQAResults!$A:$C,3,0)</f>
        <v>820</v>
      </c>
      <c r="L302" s="4">
        <f t="shared" ca="1" si="4"/>
        <v>43.411851041666523</v>
      </c>
    </row>
    <row r="303" spans="1:12" x14ac:dyDescent="0.2">
      <c r="A303" s="2" t="s">
        <v>480</v>
      </c>
      <c r="B303" s="3">
        <v>46234.643055555556</v>
      </c>
      <c r="C303" s="2" t="s">
        <v>12</v>
      </c>
      <c r="D303" s="2" t="s">
        <v>485</v>
      </c>
      <c r="E303" s="2">
        <v>3</v>
      </c>
      <c r="F303" s="2">
        <v>170</v>
      </c>
      <c r="G303" s="2">
        <v>0</v>
      </c>
      <c r="H303" s="2">
        <v>170</v>
      </c>
      <c r="I303" s="2">
        <v>14</v>
      </c>
      <c r="J303" s="2" t="s">
        <v>14</v>
      </c>
      <c r="K303" s="2">
        <f>VLOOKUP(A:A,[1]XuanStockQAResults!$A:$C,3,0)</f>
        <v>820</v>
      </c>
      <c r="L303" s="4">
        <f t="shared" ca="1" si="4"/>
        <v>14.306295486108866</v>
      </c>
    </row>
    <row r="304" spans="1:12" x14ac:dyDescent="0.2">
      <c r="A304" s="2" t="s">
        <v>486</v>
      </c>
      <c r="B304" s="3">
        <v>46205.537499999999</v>
      </c>
      <c r="C304" s="2" t="s">
        <v>12</v>
      </c>
      <c r="D304" s="2" t="s">
        <v>481</v>
      </c>
      <c r="E304" s="2">
        <v>4</v>
      </c>
      <c r="F304" s="2">
        <v>30</v>
      </c>
      <c r="G304" s="2">
        <v>0</v>
      </c>
      <c r="H304" s="2">
        <v>30</v>
      </c>
      <c r="I304" s="2">
        <v>3</v>
      </c>
      <c r="J304" s="2" t="s">
        <v>14</v>
      </c>
      <c r="K304" s="2">
        <f>VLOOKUP(A:A,[1]XuanStockQAResults!$A:$C,3,0)</f>
        <v>914</v>
      </c>
      <c r="L304" s="4">
        <f t="shared" ca="1" si="4"/>
        <v>43.411851041666523</v>
      </c>
    </row>
    <row r="305" spans="1:12" x14ac:dyDescent="0.2">
      <c r="A305" s="2" t="s">
        <v>486</v>
      </c>
      <c r="B305" s="3">
        <v>46234.643055555556</v>
      </c>
      <c r="C305" s="2" t="s">
        <v>12</v>
      </c>
      <c r="D305" s="2" t="s">
        <v>487</v>
      </c>
      <c r="E305" s="2">
        <v>1</v>
      </c>
      <c r="F305" s="2">
        <v>100</v>
      </c>
      <c r="G305" s="2">
        <v>0</v>
      </c>
      <c r="H305" s="2">
        <v>100</v>
      </c>
      <c r="I305" s="2">
        <v>10</v>
      </c>
      <c r="J305" s="2" t="s">
        <v>14</v>
      </c>
      <c r="K305" s="2">
        <f>VLOOKUP(A:A,[1]XuanStockQAResults!$A:$C,3,0)</f>
        <v>914</v>
      </c>
      <c r="L305" s="4">
        <f t="shared" ca="1" si="4"/>
        <v>14.306295486108866</v>
      </c>
    </row>
    <row r="306" spans="1:12" x14ac:dyDescent="0.2">
      <c r="A306" s="2" t="s">
        <v>486</v>
      </c>
      <c r="B306" s="3">
        <v>46234.643055555556</v>
      </c>
      <c r="C306" s="2" t="s">
        <v>12</v>
      </c>
      <c r="D306" s="2" t="s">
        <v>488</v>
      </c>
      <c r="E306" s="2">
        <v>1</v>
      </c>
      <c r="F306" s="2">
        <v>100</v>
      </c>
      <c r="G306" s="2">
        <v>0</v>
      </c>
      <c r="H306" s="2">
        <v>100</v>
      </c>
      <c r="I306" s="2">
        <v>10</v>
      </c>
      <c r="J306" s="2" t="s">
        <v>14</v>
      </c>
      <c r="K306" s="2">
        <f>VLOOKUP(A:A,[1]XuanStockQAResults!$A:$C,3,0)</f>
        <v>914</v>
      </c>
      <c r="L306" s="4">
        <f t="shared" ca="1" si="4"/>
        <v>14.306295486108866</v>
      </c>
    </row>
    <row r="307" spans="1:12" x14ac:dyDescent="0.2">
      <c r="A307" s="2" t="s">
        <v>489</v>
      </c>
      <c r="B307" s="3">
        <v>46234.643055555556</v>
      </c>
      <c r="C307" s="2" t="s">
        <v>12</v>
      </c>
      <c r="D307" s="2" t="s">
        <v>487</v>
      </c>
      <c r="E307" s="2">
        <v>3</v>
      </c>
      <c r="F307" s="2">
        <v>160</v>
      </c>
      <c r="G307" s="2">
        <v>0</v>
      </c>
      <c r="H307" s="2">
        <v>160</v>
      </c>
      <c r="I307" s="2">
        <v>13</v>
      </c>
      <c r="J307" s="2" t="s">
        <v>14</v>
      </c>
      <c r="K307" s="2">
        <f>VLOOKUP(A:A,[1]XuanStockQAResults!$A:$C,3,0)</f>
        <v>466</v>
      </c>
      <c r="L307" s="4">
        <f t="shared" ca="1" si="4"/>
        <v>14.306295486108866</v>
      </c>
    </row>
    <row r="308" spans="1:12" x14ac:dyDescent="0.2">
      <c r="A308" s="2" t="s">
        <v>489</v>
      </c>
      <c r="B308" s="3">
        <v>46234.643055555556</v>
      </c>
      <c r="C308" s="2" t="s">
        <v>12</v>
      </c>
      <c r="D308" s="2" t="s">
        <v>478</v>
      </c>
      <c r="E308" s="2">
        <v>2</v>
      </c>
      <c r="F308" s="2">
        <v>140</v>
      </c>
      <c r="G308" s="2">
        <v>0</v>
      </c>
      <c r="H308" s="2">
        <v>140</v>
      </c>
      <c r="I308" s="2">
        <v>12</v>
      </c>
      <c r="J308" s="2" t="s">
        <v>14</v>
      </c>
      <c r="K308" s="2">
        <f>VLOOKUP(A:A,[1]XuanStockQAResults!$A:$C,3,0)</f>
        <v>466</v>
      </c>
      <c r="L308" s="4">
        <f t="shared" ca="1" si="4"/>
        <v>14.306295486108866</v>
      </c>
    </row>
    <row r="309" spans="1:12" x14ac:dyDescent="0.2">
      <c r="A309" s="2" t="s">
        <v>490</v>
      </c>
      <c r="B309" s="3">
        <v>46234.643055555556</v>
      </c>
      <c r="C309" s="2" t="s">
        <v>12</v>
      </c>
      <c r="D309" s="2" t="s">
        <v>477</v>
      </c>
      <c r="E309" s="2">
        <v>3</v>
      </c>
      <c r="F309" s="2">
        <v>52</v>
      </c>
      <c r="G309" s="2">
        <v>0</v>
      </c>
      <c r="H309" s="2">
        <v>52</v>
      </c>
      <c r="I309" s="2">
        <v>6</v>
      </c>
      <c r="J309" s="2" t="s">
        <v>14</v>
      </c>
      <c r="K309" s="2">
        <f>VLOOKUP(A:A,[1]XuanStockQAResults!$A:$C,3,0)</f>
        <v>158</v>
      </c>
      <c r="L309" s="4">
        <f t="shared" ca="1" si="4"/>
        <v>14.306295486108866</v>
      </c>
    </row>
    <row r="310" spans="1:12" x14ac:dyDescent="0.2">
      <c r="A310" s="2" t="s">
        <v>491</v>
      </c>
      <c r="B310" s="3">
        <v>46234.642361111109</v>
      </c>
      <c r="C310" s="2" t="s">
        <v>12</v>
      </c>
      <c r="D310" s="2" t="s">
        <v>492</v>
      </c>
      <c r="E310" s="2">
        <v>1</v>
      </c>
      <c r="F310" s="2">
        <v>96</v>
      </c>
      <c r="G310" s="2">
        <v>0</v>
      </c>
      <c r="H310" s="2">
        <v>96</v>
      </c>
      <c r="I310" s="2">
        <v>10</v>
      </c>
      <c r="J310" s="2" t="s">
        <v>14</v>
      </c>
      <c r="K310" s="2">
        <f>VLOOKUP(A:A,[1]XuanStockQAResults!$A:$C,3,0)</f>
        <v>261</v>
      </c>
      <c r="L310" s="4">
        <f t="shared" ca="1" si="4"/>
        <v>14.306989930555574</v>
      </c>
    </row>
    <row r="311" spans="1:12" x14ac:dyDescent="0.2">
      <c r="A311" s="2" t="s">
        <v>491</v>
      </c>
      <c r="B311" s="3">
        <v>46234.643055555556</v>
      </c>
      <c r="C311" s="2" t="s">
        <v>12</v>
      </c>
      <c r="D311" s="2" t="s">
        <v>478</v>
      </c>
      <c r="E311" s="2">
        <v>3</v>
      </c>
      <c r="F311" s="2">
        <v>117</v>
      </c>
      <c r="G311" s="2">
        <v>0</v>
      </c>
      <c r="H311" s="2">
        <v>117</v>
      </c>
      <c r="I311" s="2">
        <v>10</v>
      </c>
      <c r="J311" s="2" t="s">
        <v>14</v>
      </c>
      <c r="K311" s="2">
        <f>VLOOKUP(A:A,[1]XuanStockQAResults!$A:$C,3,0)</f>
        <v>261</v>
      </c>
      <c r="L311" s="4">
        <f t="shared" ca="1" si="4"/>
        <v>14.306295486108866</v>
      </c>
    </row>
    <row r="312" spans="1:12" x14ac:dyDescent="0.2">
      <c r="A312" s="2" t="s">
        <v>493</v>
      </c>
      <c r="B312" s="3">
        <v>46234.643055555556</v>
      </c>
      <c r="C312" s="2" t="s">
        <v>12</v>
      </c>
      <c r="D312" s="2" t="s">
        <v>479</v>
      </c>
      <c r="E312" s="2">
        <v>2</v>
      </c>
      <c r="F312" s="2">
        <v>32</v>
      </c>
      <c r="G312" s="2">
        <v>0</v>
      </c>
      <c r="H312" s="2">
        <v>32</v>
      </c>
      <c r="I312" s="2">
        <v>4</v>
      </c>
      <c r="J312" s="2" t="s">
        <v>14</v>
      </c>
      <c r="K312" s="2">
        <f>VLOOKUP(A:A,[1]XuanStockQAResults!$A:$C,3,0)</f>
        <v>243</v>
      </c>
      <c r="L312" s="4">
        <f t="shared" ca="1" si="4"/>
        <v>14.306295486108866</v>
      </c>
    </row>
    <row r="313" spans="1:12" x14ac:dyDescent="0.2">
      <c r="A313" s="2" t="s">
        <v>494</v>
      </c>
      <c r="B313" s="3">
        <v>46205.538194444445</v>
      </c>
      <c r="C313" s="2" t="s">
        <v>12</v>
      </c>
      <c r="D313" s="2" t="s">
        <v>495</v>
      </c>
      <c r="E313" s="2">
        <v>1</v>
      </c>
      <c r="F313" s="2">
        <v>100</v>
      </c>
      <c r="G313" s="2">
        <v>0</v>
      </c>
      <c r="H313" s="2">
        <v>100</v>
      </c>
      <c r="I313" s="2">
        <v>10</v>
      </c>
      <c r="J313" s="2" t="s">
        <v>14</v>
      </c>
      <c r="K313" s="2">
        <f>VLOOKUP(A:A,[1]XuanStockQAResults!$A:$C,3,0)</f>
        <v>361</v>
      </c>
      <c r="L313" s="4">
        <f t="shared" ca="1" si="4"/>
        <v>43.411156597219815</v>
      </c>
    </row>
    <row r="314" spans="1:12" x14ac:dyDescent="0.2">
      <c r="A314" s="2" t="s">
        <v>496</v>
      </c>
      <c r="B314" s="3">
        <v>46234.643055555556</v>
      </c>
      <c r="C314" s="2" t="s">
        <v>12</v>
      </c>
      <c r="D314" s="2" t="s">
        <v>497</v>
      </c>
      <c r="E314" s="2">
        <v>1</v>
      </c>
      <c r="F314" s="2">
        <v>104</v>
      </c>
      <c r="G314" s="2">
        <v>0</v>
      </c>
      <c r="H314" s="2">
        <v>104</v>
      </c>
      <c r="I314" s="2">
        <v>9</v>
      </c>
      <c r="J314" s="2" t="s">
        <v>14</v>
      </c>
      <c r="K314" s="2">
        <f>VLOOKUP(A:A,[1]XuanStockQAResults!$A:$C,3,0)</f>
        <v>318</v>
      </c>
      <c r="L314" s="4">
        <f t="shared" ca="1" si="4"/>
        <v>14.306295486108866</v>
      </c>
    </row>
    <row r="315" spans="1:12" x14ac:dyDescent="0.2">
      <c r="A315" s="2" t="s">
        <v>496</v>
      </c>
      <c r="B315" s="3">
        <v>46234.643055555556</v>
      </c>
      <c r="C315" s="2" t="s">
        <v>12</v>
      </c>
      <c r="D315" s="2" t="s">
        <v>488</v>
      </c>
      <c r="E315" s="2">
        <v>2</v>
      </c>
      <c r="F315" s="2">
        <v>44</v>
      </c>
      <c r="G315" s="2">
        <v>2</v>
      </c>
      <c r="H315" s="2">
        <v>42</v>
      </c>
      <c r="I315" s="2">
        <v>5</v>
      </c>
      <c r="J315" s="2" t="s">
        <v>14</v>
      </c>
      <c r="K315" s="2">
        <f>VLOOKUP(A:A,[1]XuanStockQAResults!$A:$C,3,0)</f>
        <v>318</v>
      </c>
      <c r="L315" s="4">
        <f t="shared" ca="1" si="4"/>
        <v>14.306295486108866</v>
      </c>
    </row>
    <row r="316" spans="1:12" x14ac:dyDescent="0.2">
      <c r="A316" s="2" t="s">
        <v>498</v>
      </c>
      <c r="B316" s="3">
        <v>46205.537499999999</v>
      </c>
      <c r="C316" s="2" t="s">
        <v>12</v>
      </c>
      <c r="D316" s="2" t="s">
        <v>499</v>
      </c>
      <c r="E316" s="2">
        <v>1</v>
      </c>
      <c r="F316" s="2">
        <v>75</v>
      </c>
      <c r="G316" s="2">
        <v>0</v>
      </c>
      <c r="H316" s="2">
        <v>75</v>
      </c>
      <c r="I316" s="2">
        <v>8</v>
      </c>
      <c r="J316" s="2" t="s">
        <v>14</v>
      </c>
      <c r="K316" s="2">
        <f>VLOOKUP(A:A,[1]XuanStockQAResults!$A:$C,3,0)</f>
        <v>974</v>
      </c>
      <c r="L316" s="4">
        <f t="shared" ca="1" si="4"/>
        <v>43.411851041666523</v>
      </c>
    </row>
    <row r="317" spans="1:12" x14ac:dyDescent="0.2">
      <c r="A317" s="2" t="s">
        <v>498</v>
      </c>
      <c r="B317" s="3">
        <v>46205.537499999999</v>
      </c>
      <c r="C317" s="2" t="s">
        <v>12</v>
      </c>
      <c r="D317" s="2" t="s">
        <v>481</v>
      </c>
      <c r="E317" s="2">
        <v>1</v>
      </c>
      <c r="F317" s="2">
        <v>200</v>
      </c>
      <c r="G317" s="2">
        <v>0</v>
      </c>
      <c r="H317" s="2">
        <v>200</v>
      </c>
      <c r="I317" s="2">
        <v>16</v>
      </c>
      <c r="J317" s="2" t="s">
        <v>14</v>
      </c>
      <c r="K317" s="2">
        <f>VLOOKUP(A:A,[1]XuanStockQAResults!$A:$C,3,0)</f>
        <v>974</v>
      </c>
      <c r="L317" s="4">
        <f t="shared" ca="1" si="4"/>
        <v>43.411851041666523</v>
      </c>
    </row>
    <row r="318" spans="1:12" x14ac:dyDescent="0.2">
      <c r="A318" s="2" t="s">
        <v>498</v>
      </c>
      <c r="B318" s="3">
        <v>46205.537499999999</v>
      </c>
      <c r="C318" s="2" t="s">
        <v>12</v>
      </c>
      <c r="D318" s="2" t="s">
        <v>500</v>
      </c>
      <c r="E318" s="2">
        <v>1</v>
      </c>
      <c r="F318" s="2">
        <v>400</v>
      </c>
      <c r="G318" s="2">
        <v>216</v>
      </c>
      <c r="H318" s="2">
        <v>184</v>
      </c>
      <c r="I318" s="2">
        <v>24</v>
      </c>
      <c r="J318" s="2" t="s">
        <v>14</v>
      </c>
      <c r="K318" s="2">
        <f>VLOOKUP(A:A,[1]XuanStockQAResults!$A:$C,3,0)</f>
        <v>974</v>
      </c>
      <c r="L318" s="4">
        <f t="shared" ca="1" si="4"/>
        <v>43.411851041666523</v>
      </c>
    </row>
    <row r="319" spans="1:12" x14ac:dyDescent="0.2">
      <c r="A319" s="2" t="s">
        <v>498</v>
      </c>
      <c r="B319" s="3">
        <v>46205.537499999999</v>
      </c>
      <c r="C319" s="2" t="s">
        <v>12</v>
      </c>
      <c r="D319" s="2" t="s">
        <v>501</v>
      </c>
      <c r="E319" s="2">
        <v>1</v>
      </c>
      <c r="F319" s="2">
        <v>130</v>
      </c>
      <c r="G319" s="2">
        <v>0</v>
      </c>
      <c r="H319" s="2">
        <v>130</v>
      </c>
      <c r="I319" s="2">
        <v>11</v>
      </c>
      <c r="J319" s="2" t="s">
        <v>14</v>
      </c>
      <c r="K319" s="2">
        <f>VLOOKUP(A:A,[1]XuanStockQAResults!$A:$C,3,0)</f>
        <v>974</v>
      </c>
      <c r="L319" s="4">
        <f t="shared" ca="1" si="4"/>
        <v>43.411851041666523</v>
      </c>
    </row>
    <row r="320" spans="1:12" x14ac:dyDescent="0.2">
      <c r="A320" s="2" t="s">
        <v>498</v>
      </c>
      <c r="B320" s="3">
        <v>46234.643055555556</v>
      </c>
      <c r="C320" s="2" t="s">
        <v>12</v>
      </c>
      <c r="D320" s="2" t="s">
        <v>477</v>
      </c>
      <c r="E320" s="2">
        <v>4</v>
      </c>
      <c r="F320" s="2">
        <v>70</v>
      </c>
      <c r="G320" s="2">
        <v>2</v>
      </c>
      <c r="H320" s="2">
        <v>68</v>
      </c>
      <c r="I320" s="2">
        <v>7</v>
      </c>
      <c r="J320" s="2" t="s">
        <v>148</v>
      </c>
      <c r="K320" s="2">
        <f>VLOOKUP(A:A,[1]XuanStockQAResults!$A:$C,3,0)</f>
        <v>974</v>
      </c>
      <c r="L320" s="4">
        <f t="shared" ca="1" si="4"/>
        <v>14.306295486108866</v>
      </c>
    </row>
    <row r="321" spans="1:12" x14ac:dyDescent="0.2">
      <c r="A321" s="2" t="s">
        <v>498</v>
      </c>
      <c r="B321" s="3">
        <v>46234.643055555556</v>
      </c>
      <c r="C321" s="2" t="s">
        <v>12</v>
      </c>
      <c r="D321" s="2" t="s">
        <v>487</v>
      </c>
      <c r="E321" s="2">
        <v>2</v>
      </c>
      <c r="F321" s="2">
        <v>200</v>
      </c>
      <c r="G321" s="2">
        <v>0</v>
      </c>
      <c r="H321" s="2">
        <v>200</v>
      </c>
      <c r="I321" s="2">
        <v>16</v>
      </c>
      <c r="J321" s="2" t="s">
        <v>148</v>
      </c>
      <c r="K321" s="2">
        <f>VLOOKUP(A:A,[1]XuanStockQAResults!$A:$C,3,0)</f>
        <v>974</v>
      </c>
      <c r="L321" s="4">
        <f t="shared" ca="1" si="4"/>
        <v>14.306295486108866</v>
      </c>
    </row>
    <row r="322" spans="1:12" x14ac:dyDescent="0.2">
      <c r="A322" s="2" t="s">
        <v>498</v>
      </c>
      <c r="B322" s="3">
        <v>46234.643055555556</v>
      </c>
      <c r="C322" s="2" t="s">
        <v>12</v>
      </c>
      <c r="D322" s="2" t="s">
        <v>485</v>
      </c>
      <c r="E322" s="2">
        <v>1</v>
      </c>
      <c r="F322" s="2">
        <v>117</v>
      </c>
      <c r="G322" s="2">
        <v>0</v>
      </c>
      <c r="H322" s="2">
        <v>117</v>
      </c>
      <c r="I322" s="2">
        <v>10</v>
      </c>
      <c r="J322" s="2" t="s">
        <v>148</v>
      </c>
      <c r="K322" s="2">
        <f>VLOOKUP(A:A,[1]XuanStockQAResults!$A:$C,3,0)</f>
        <v>974</v>
      </c>
      <c r="L322" s="4">
        <f t="shared" ca="1" si="4"/>
        <v>14.306295486108866</v>
      </c>
    </row>
    <row r="323" spans="1:12" x14ac:dyDescent="0.2">
      <c r="A323" s="2" t="s">
        <v>502</v>
      </c>
      <c r="B323" s="3">
        <v>46205.537499999999</v>
      </c>
      <c r="C323" s="2" t="s">
        <v>12</v>
      </c>
      <c r="D323" s="2" t="s">
        <v>481</v>
      </c>
      <c r="E323" s="2">
        <v>2</v>
      </c>
      <c r="F323" s="2">
        <v>200</v>
      </c>
      <c r="G323" s="2">
        <v>0</v>
      </c>
      <c r="H323" s="2">
        <v>200</v>
      </c>
      <c r="I323" s="2">
        <v>16</v>
      </c>
      <c r="J323" s="2" t="s">
        <v>14</v>
      </c>
      <c r="K323" s="2">
        <f>VLOOKUP(A:A,[1]XuanStockQAResults!$A:$C,3,0)</f>
        <v>1259</v>
      </c>
      <c r="L323" s="4">
        <f t="shared" ref="L323:L386" ca="1" si="5">NOW()-B323</f>
        <v>43.411851041666523</v>
      </c>
    </row>
    <row r="324" spans="1:12" x14ac:dyDescent="0.2">
      <c r="A324" s="2" t="s">
        <v>502</v>
      </c>
      <c r="B324" s="3">
        <v>46205.537499999999</v>
      </c>
      <c r="C324" s="2" t="s">
        <v>12</v>
      </c>
      <c r="D324" s="2" t="s">
        <v>483</v>
      </c>
      <c r="E324" s="2">
        <v>2</v>
      </c>
      <c r="F324" s="2">
        <v>30</v>
      </c>
      <c r="G324" s="2">
        <v>0</v>
      </c>
      <c r="H324" s="2">
        <v>30</v>
      </c>
      <c r="I324" s="2">
        <v>3</v>
      </c>
      <c r="J324" s="2" t="s">
        <v>14</v>
      </c>
      <c r="K324" s="2">
        <f>VLOOKUP(A:A,[1]XuanStockQAResults!$A:$C,3,0)</f>
        <v>1259</v>
      </c>
      <c r="L324" s="4">
        <f t="shared" ca="1" si="5"/>
        <v>43.411851041666523</v>
      </c>
    </row>
    <row r="325" spans="1:12" x14ac:dyDescent="0.2">
      <c r="A325" s="2" t="s">
        <v>502</v>
      </c>
      <c r="B325" s="3">
        <v>46234.643055555556</v>
      </c>
      <c r="C325" s="2" t="s">
        <v>12</v>
      </c>
      <c r="D325" s="2" t="s">
        <v>497</v>
      </c>
      <c r="E325" s="2">
        <v>2</v>
      </c>
      <c r="F325" s="2">
        <v>100</v>
      </c>
      <c r="G325" s="2">
        <v>0</v>
      </c>
      <c r="H325" s="2">
        <v>100</v>
      </c>
      <c r="I325" s="2">
        <v>10</v>
      </c>
      <c r="J325" s="2" t="s">
        <v>14</v>
      </c>
      <c r="K325" s="2">
        <f>VLOOKUP(A:A,[1]XuanStockQAResults!$A:$C,3,0)</f>
        <v>1259</v>
      </c>
      <c r="L325" s="4">
        <f t="shared" ca="1" si="5"/>
        <v>14.306295486108866</v>
      </c>
    </row>
    <row r="326" spans="1:12" x14ac:dyDescent="0.2">
      <c r="A326" s="2" t="s">
        <v>502</v>
      </c>
      <c r="B326" s="3">
        <v>46234.643055555556</v>
      </c>
      <c r="C326" s="2" t="s">
        <v>12</v>
      </c>
      <c r="D326" s="2" t="s">
        <v>487</v>
      </c>
      <c r="E326" s="2">
        <v>4</v>
      </c>
      <c r="F326" s="2">
        <v>70</v>
      </c>
      <c r="G326" s="2">
        <v>0</v>
      </c>
      <c r="H326" s="2">
        <v>70</v>
      </c>
      <c r="I326" s="2">
        <v>7</v>
      </c>
      <c r="J326" s="2" t="s">
        <v>14</v>
      </c>
      <c r="K326" s="2">
        <f>VLOOKUP(A:A,[1]XuanStockQAResults!$A:$C,3,0)</f>
        <v>1259</v>
      </c>
      <c r="L326" s="4">
        <f t="shared" ca="1" si="5"/>
        <v>14.306295486108866</v>
      </c>
    </row>
    <row r="327" spans="1:12" x14ac:dyDescent="0.2">
      <c r="A327" s="2" t="s">
        <v>502</v>
      </c>
      <c r="B327" s="3">
        <v>46234.643055555556</v>
      </c>
      <c r="C327" s="2" t="s">
        <v>12</v>
      </c>
      <c r="D327" s="2" t="s">
        <v>485</v>
      </c>
      <c r="E327" s="2">
        <v>2</v>
      </c>
      <c r="F327" s="2">
        <v>320</v>
      </c>
      <c r="G327" s="2">
        <v>0</v>
      </c>
      <c r="H327" s="2">
        <v>320</v>
      </c>
      <c r="I327" s="2">
        <v>20</v>
      </c>
      <c r="J327" s="2" t="s">
        <v>14</v>
      </c>
      <c r="K327" s="2">
        <f>VLOOKUP(A:A,[1]XuanStockQAResults!$A:$C,3,0)</f>
        <v>1259</v>
      </c>
      <c r="L327" s="4">
        <f t="shared" ca="1" si="5"/>
        <v>14.306295486108866</v>
      </c>
    </row>
    <row r="328" spans="1:12" x14ac:dyDescent="0.2">
      <c r="A328" s="2" t="s">
        <v>503</v>
      </c>
      <c r="B328" s="3">
        <v>46234.643055555556</v>
      </c>
      <c r="C328" s="2" t="s">
        <v>12</v>
      </c>
      <c r="D328" s="2" t="s">
        <v>478</v>
      </c>
      <c r="E328" s="2">
        <v>4</v>
      </c>
      <c r="F328" s="2">
        <v>140</v>
      </c>
      <c r="G328" s="2">
        <v>0</v>
      </c>
      <c r="H328" s="2">
        <v>140</v>
      </c>
      <c r="I328" s="2">
        <v>12</v>
      </c>
      <c r="J328" s="2" t="s">
        <v>14</v>
      </c>
      <c r="K328" s="2">
        <f>VLOOKUP(A:A,[1]XuanStockQAResults!$A:$C,3,0)</f>
        <v>769</v>
      </c>
      <c r="L328" s="4">
        <f t="shared" ca="1" si="5"/>
        <v>14.306295486108866</v>
      </c>
    </row>
    <row r="329" spans="1:12" x14ac:dyDescent="0.2">
      <c r="A329" s="2" t="s">
        <v>504</v>
      </c>
      <c r="B329" s="3">
        <v>46205.537499999999</v>
      </c>
      <c r="C329" s="2" t="s">
        <v>12</v>
      </c>
      <c r="D329" s="2" t="s">
        <v>500</v>
      </c>
      <c r="E329" s="2">
        <v>2</v>
      </c>
      <c r="F329" s="2">
        <v>113</v>
      </c>
      <c r="G329" s="2">
        <v>0</v>
      </c>
      <c r="H329" s="2">
        <v>113</v>
      </c>
      <c r="I329" s="2">
        <v>10</v>
      </c>
      <c r="J329" s="2" t="s">
        <v>14</v>
      </c>
      <c r="K329" s="2">
        <f>VLOOKUP(A:A,[1]XuanStockQAResults!$A:$C,3,0)</f>
        <v>5411</v>
      </c>
      <c r="L329" s="4">
        <f t="shared" ca="1" si="5"/>
        <v>43.411851041666523</v>
      </c>
    </row>
    <row r="330" spans="1:12" x14ac:dyDescent="0.2">
      <c r="A330" s="2" t="s">
        <v>504</v>
      </c>
      <c r="B330" s="3">
        <v>46205.537499999999</v>
      </c>
      <c r="C330" s="2" t="s">
        <v>12</v>
      </c>
      <c r="D330" s="2" t="s">
        <v>482</v>
      </c>
      <c r="E330" s="2">
        <v>3</v>
      </c>
      <c r="F330" s="2">
        <v>800</v>
      </c>
      <c r="G330" s="2">
        <v>152</v>
      </c>
      <c r="H330" s="2">
        <v>648</v>
      </c>
      <c r="I330" s="2">
        <v>32</v>
      </c>
      <c r="J330" s="2" t="s">
        <v>14</v>
      </c>
      <c r="K330" s="2">
        <f>VLOOKUP(A:A,[1]XuanStockQAResults!$A:$C,3,0)</f>
        <v>5411</v>
      </c>
      <c r="L330" s="4">
        <f t="shared" ca="1" si="5"/>
        <v>43.411851041666523</v>
      </c>
    </row>
    <row r="331" spans="1:12" x14ac:dyDescent="0.2">
      <c r="A331" s="2" t="s">
        <v>504</v>
      </c>
      <c r="B331" s="3">
        <v>46205.537499999999</v>
      </c>
      <c r="C331" s="2" t="s">
        <v>12</v>
      </c>
      <c r="D331" s="2" t="s">
        <v>501</v>
      </c>
      <c r="E331" s="2">
        <v>2</v>
      </c>
      <c r="F331" s="2">
        <v>1000</v>
      </c>
      <c r="G331" s="2">
        <v>0</v>
      </c>
      <c r="H331" s="2">
        <v>1000</v>
      </c>
      <c r="I331" s="2">
        <v>40</v>
      </c>
      <c r="J331" s="2" t="s">
        <v>14</v>
      </c>
      <c r="K331" s="2">
        <f>VLOOKUP(A:A,[1]XuanStockQAResults!$A:$C,3,0)</f>
        <v>5411</v>
      </c>
      <c r="L331" s="4">
        <f t="shared" ca="1" si="5"/>
        <v>43.411851041666523</v>
      </c>
    </row>
    <row r="332" spans="1:12" x14ac:dyDescent="0.2">
      <c r="A332" s="2" t="s">
        <v>504</v>
      </c>
      <c r="B332" s="3">
        <v>46205.537499999999</v>
      </c>
      <c r="C332" s="2" t="s">
        <v>12</v>
      </c>
      <c r="D332" s="2" t="s">
        <v>484</v>
      </c>
      <c r="E332" s="2">
        <v>2</v>
      </c>
      <c r="F332" s="2">
        <v>2000</v>
      </c>
      <c r="G332" s="2">
        <v>0</v>
      </c>
      <c r="H332" s="2">
        <v>2000</v>
      </c>
      <c r="I332" s="2">
        <v>60</v>
      </c>
      <c r="J332" s="2" t="s">
        <v>14</v>
      </c>
      <c r="K332" s="2">
        <f>VLOOKUP(A:A,[1]XuanStockQAResults!$A:$C,3,0)</f>
        <v>5411</v>
      </c>
      <c r="L332" s="4">
        <f t="shared" ca="1" si="5"/>
        <v>43.411851041666523</v>
      </c>
    </row>
    <row r="333" spans="1:12" x14ac:dyDescent="0.2">
      <c r="A333" s="2" t="s">
        <v>504</v>
      </c>
      <c r="B333" s="3">
        <v>46205.538194444445</v>
      </c>
      <c r="C333" s="2" t="s">
        <v>12</v>
      </c>
      <c r="D333" s="2" t="s">
        <v>505</v>
      </c>
      <c r="E333" s="2">
        <v>1</v>
      </c>
      <c r="F333" s="2">
        <v>1000</v>
      </c>
      <c r="G333" s="2">
        <v>0</v>
      </c>
      <c r="H333" s="2">
        <v>1000</v>
      </c>
      <c r="I333" s="2">
        <v>40</v>
      </c>
      <c r="J333" s="2" t="s">
        <v>14</v>
      </c>
      <c r="K333" s="2">
        <f>VLOOKUP(A:A,[1]XuanStockQAResults!$A:$C,3,0)</f>
        <v>5411</v>
      </c>
      <c r="L333" s="4">
        <f t="shared" ca="1" si="5"/>
        <v>43.411156597219815</v>
      </c>
    </row>
    <row r="334" spans="1:12" x14ac:dyDescent="0.2">
      <c r="A334" s="2" t="s">
        <v>504</v>
      </c>
      <c r="B334" s="3">
        <v>46205.538194444445</v>
      </c>
      <c r="C334" s="2" t="s">
        <v>12</v>
      </c>
      <c r="D334" s="2" t="s">
        <v>495</v>
      </c>
      <c r="E334" s="2">
        <v>2</v>
      </c>
      <c r="F334" s="2">
        <v>650</v>
      </c>
      <c r="G334" s="2">
        <v>0</v>
      </c>
      <c r="H334" s="2">
        <v>650</v>
      </c>
      <c r="I334" s="2">
        <v>26</v>
      </c>
      <c r="J334" s="2" t="s">
        <v>14</v>
      </c>
      <c r="K334" s="2">
        <f>VLOOKUP(A:A,[1]XuanStockQAResults!$A:$C,3,0)</f>
        <v>5411</v>
      </c>
      <c r="L334" s="4">
        <f t="shared" ca="1" si="5"/>
        <v>43.411156597219815</v>
      </c>
    </row>
    <row r="335" spans="1:12" x14ac:dyDescent="0.2">
      <c r="A335" s="2" t="s">
        <v>506</v>
      </c>
      <c r="B335" s="3">
        <v>46205.537499999999</v>
      </c>
      <c r="C335" s="2" t="s">
        <v>12</v>
      </c>
      <c r="D335" s="2" t="s">
        <v>483</v>
      </c>
      <c r="E335" s="2">
        <v>3</v>
      </c>
      <c r="F335" s="2">
        <v>100</v>
      </c>
      <c r="G335" s="2">
        <v>0</v>
      </c>
      <c r="H335" s="2">
        <v>100</v>
      </c>
      <c r="I335" s="2">
        <v>10</v>
      </c>
      <c r="J335" s="2" t="s">
        <v>14</v>
      </c>
      <c r="K335" s="2">
        <f>VLOOKUP(A:A,[1]XuanStockQAResults!$A:$C,3,0)</f>
        <v>954</v>
      </c>
      <c r="L335" s="4">
        <f t="shared" ca="1" si="5"/>
        <v>43.411851041666523</v>
      </c>
    </row>
    <row r="336" spans="1:12" x14ac:dyDescent="0.2">
      <c r="A336" s="2" t="s">
        <v>506</v>
      </c>
      <c r="B336" s="3">
        <v>46205.538194444445</v>
      </c>
      <c r="C336" s="2" t="s">
        <v>12</v>
      </c>
      <c r="D336" s="2" t="s">
        <v>507</v>
      </c>
      <c r="E336" s="2">
        <v>1</v>
      </c>
      <c r="F336" s="2">
        <v>100</v>
      </c>
      <c r="G336" s="2">
        <v>0</v>
      </c>
      <c r="H336" s="2">
        <v>100</v>
      </c>
      <c r="I336" s="2">
        <v>10</v>
      </c>
      <c r="J336" s="2" t="s">
        <v>14</v>
      </c>
      <c r="K336" s="2">
        <f>VLOOKUP(A:A,[1]XuanStockQAResults!$A:$C,3,0)</f>
        <v>954</v>
      </c>
      <c r="L336" s="4">
        <f t="shared" ca="1" si="5"/>
        <v>43.411156597219815</v>
      </c>
    </row>
    <row r="337" spans="1:12" x14ac:dyDescent="0.2">
      <c r="A337" s="2" t="s">
        <v>506</v>
      </c>
      <c r="B337" s="3">
        <v>46234.643055555556</v>
      </c>
      <c r="C337" s="2" t="s">
        <v>12</v>
      </c>
      <c r="D337" s="2" t="s">
        <v>488</v>
      </c>
      <c r="E337" s="2">
        <v>3</v>
      </c>
      <c r="F337" s="2">
        <v>100</v>
      </c>
      <c r="G337" s="2">
        <v>0</v>
      </c>
      <c r="H337" s="2">
        <v>100</v>
      </c>
      <c r="I337" s="2">
        <v>10</v>
      </c>
      <c r="J337" s="2" t="s">
        <v>14</v>
      </c>
      <c r="K337" s="2">
        <f>VLOOKUP(A:A,[1]XuanStockQAResults!$A:$C,3,0)</f>
        <v>954</v>
      </c>
      <c r="L337" s="4">
        <f t="shared" ca="1" si="5"/>
        <v>14.306295486108866</v>
      </c>
    </row>
    <row r="338" spans="1:12" x14ac:dyDescent="0.2">
      <c r="A338" s="2" t="s">
        <v>508</v>
      </c>
      <c r="B338" s="3">
        <v>46234.642361111109</v>
      </c>
      <c r="C338" s="2" t="s">
        <v>12</v>
      </c>
      <c r="D338" s="2" t="s">
        <v>509</v>
      </c>
      <c r="E338" s="2">
        <v>1</v>
      </c>
      <c r="F338" s="2">
        <v>7</v>
      </c>
      <c r="G338" s="2">
        <v>0</v>
      </c>
      <c r="H338" s="2">
        <v>7</v>
      </c>
      <c r="I338" s="2">
        <v>4</v>
      </c>
      <c r="J338" s="2" t="s">
        <v>14</v>
      </c>
      <c r="K338" s="2">
        <f>VLOOKUP(A:A,[1]XuanStockQAResults!$A:$C,3,0)</f>
        <v>204</v>
      </c>
      <c r="L338" s="4">
        <f t="shared" ca="1" si="5"/>
        <v>14.306989930555574</v>
      </c>
    </row>
    <row r="339" spans="1:12" x14ac:dyDescent="0.2">
      <c r="A339" s="2" t="s">
        <v>508</v>
      </c>
      <c r="B339" s="3">
        <v>46234.643055555556</v>
      </c>
      <c r="C339" s="2" t="s">
        <v>12</v>
      </c>
      <c r="D339" s="2" t="s">
        <v>477</v>
      </c>
      <c r="E339" s="2">
        <v>1</v>
      </c>
      <c r="F339" s="2">
        <v>100</v>
      </c>
      <c r="G339" s="2">
        <v>0</v>
      </c>
      <c r="H339" s="2">
        <v>100</v>
      </c>
      <c r="I339" s="2">
        <v>10</v>
      </c>
      <c r="J339" s="2" t="s">
        <v>14</v>
      </c>
      <c r="K339" s="2">
        <f>VLOOKUP(A:A,[1]XuanStockQAResults!$A:$C,3,0)</f>
        <v>204</v>
      </c>
      <c r="L339" s="4">
        <f t="shared" ca="1" si="5"/>
        <v>14.306295486108866</v>
      </c>
    </row>
    <row r="340" spans="1:12" x14ac:dyDescent="0.2">
      <c r="A340" s="2" t="s">
        <v>510</v>
      </c>
      <c r="B340" s="3">
        <v>46240.340277777781</v>
      </c>
      <c r="C340" s="2" t="s">
        <v>12</v>
      </c>
      <c r="D340" s="2" t="s">
        <v>471</v>
      </c>
      <c r="E340" s="2">
        <v>3</v>
      </c>
      <c r="F340" s="2">
        <v>49</v>
      </c>
      <c r="G340" s="2">
        <v>0</v>
      </c>
      <c r="H340" s="2">
        <v>49</v>
      </c>
      <c r="I340" s="2">
        <v>5</v>
      </c>
      <c r="J340" s="2" t="s">
        <v>14</v>
      </c>
      <c r="K340" s="2">
        <f>VLOOKUP(A:A,[1]XuanStockQAResults!$A:$C,3,0)</f>
        <v>49</v>
      </c>
      <c r="L340" s="4">
        <f t="shared" ca="1" si="5"/>
        <v>8.6090732638840564</v>
      </c>
    </row>
    <row r="341" spans="1:12" x14ac:dyDescent="0.2">
      <c r="A341" s="2" t="s">
        <v>511</v>
      </c>
      <c r="B341" s="3">
        <v>46240.340277777781</v>
      </c>
      <c r="C341" s="2" t="s">
        <v>12</v>
      </c>
      <c r="D341" s="2" t="s">
        <v>473</v>
      </c>
      <c r="E341" s="2">
        <v>4</v>
      </c>
      <c r="F341" s="2">
        <v>50</v>
      </c>
      <c r="G341" s="2">
        <v>0</v>
      </c>
      <c r="H341" s="2">
        <v>50</v>
      </c>
      <c r="I341" s="2">
        <v>5</v>
      </c>
      <c r="J341" s="2" t="s">
        <v>14</v>
      </c>
      <c r="K341" s="2">
        <f>VLOOKUP(A:A,[1]XuanStockQAResults!$A:$C,3,0)</f>
        <v>100</v>
      </c>
      <c r="L341" s="4">
        <f t="shared" ca="1" si="5"/>
        <v>8.6090732638840564</v>
      </c>
    </row>
    <row r="342" spans="1:12" x14ac:dyDescent="0.2">
      <c r="A342" s="2" t="s">
        <v>511</v>
      </c>
      <c r="B342" s="3">
        <v>46240.340277777781</v>
      </c>
      <c r="C342" s="2" t="s">
        <v>12</v>
      </c>
      <c r="D342" s="2" t="s">
        <v>512</v>
      </c>
      <c r="E342" s="2">
        <v>1</v>
      </c>
      <c r="F342" s="2">
        <v>50</v>
      </c>
      <c r="G342" s="2">
        <v>0</v>
      </c>
      <c r="H342" s="2">
        <v>50</v>
      </c>
      <c r="I342" s="2">
        <v>5</v>
      </c>
      <c r="J342" s="2" t="s">
        <v>14</v>
      </c>
      <c r="K342" s="2">
        <f>VLOOKUP(A:A,[1]XuanStockQAResults!$A:$C,3,0)</f>
        <v>100</v>
      </c>
      <c r="L342" s="4">
        <f t="shared" ca="1" si="5"/>
        <v>8.6090732638840564</v>
      </c>
    </row>
    <row r="343" spans="1:12" x14ac:dyDescent="0.2">
      <c r="A343" s="2" t="s">
        <v>513</v>
      </c>
      <c r="B343" s="3">
        <v>46240.340277777781</v>
      </c>
      <c r="C343" s="2" t="s">
        <v>12</v>
      </c>
      <c r="D343" s="2" t="s">
        <v>473</v>
      </c>
      <c r="E343" s="2">
        <v>5</v>
      </c>
      <c r="F343" s="2">
        <v>50</v>
      </c>
      <c r="G343" s="2">
        <v>0</v>
      </c>
      <c r="H343" s="2">
        <v>50</v>
      </c>
      <c r="I343" s="2">
        <v>5</v>
      </c>
      <c r="J343" s="2" t="s">
        <v>14</v>
      </c>
      <c r="K343" s="2">
        <f>VLOOKUP(A:A,[1]XuanStockQAResults!$A:$C,3,0)</f>
        <v>50</v>
      </c>
      <c r="L343" s="4">
        <f t="shared" ca="1" si="5"/>
        <v>8.6090732638840564</v>
      </c>
    </row>
    <row r="344" spans="1:12" x14ac:dyDescent="0.2">
      <c r="A344" s="2" t="s">
        <v>514</v>
      </c>
      <c r="B344" s="3">
        <v>46225.348611111112</v>
      </c>
      <c r="C344" s="2" t="s">
        <v>12</v>
      </c>
      <c r="D344" s="2" t="s">
        <v>515</v>
      </c>
      <c r="E344" s="2">
        <v>1</v>
      </c>
      <c r="F344" s="2">
        <v>100</v>
      </c>
      <c r="G344" s="2">
        <v>0</v>
      </c>
      <c r="H344" s="2">
        <v>100</v>
      </c>
      <c r="I344" s="2">
        <v>10</v>
      </c>
      <c r="J344" s="2" t="s">
        <v>14</v>
      </c>
      <c r="K344" s="2">
        <f>VLOOKUP(A:A,[1]XuanStockQAResults!$A:$C,3,0)</f>
        <v>600</v>
      </c>
      <c r="L344" s="4">
        <f t="shared" ca="1" si="5"/>
        <v>23.600739930552663</v>
      </c>
    </row>
    <row r="345" spans="1:12" x14ac:dyDescent="0.2">
      <c r="A345" s="2" t="s">
        <v>514</v>
      </c>
      <c r="B345" s="3">
        <v>46225.35</v>
      </c>
      <c r="C345" s="2" t="s">
        <v>12</v>
      </c>
      <c r="D345" s="2" t="s">
        <v>516</v>
      </c>
      <c r="E345" s="2">
        <v>1</v>
      </c>
      <c r="F345" s="2">
        <v>200</v>
      </c>
      <c r="G345" s="2">
        <v>0</v>
      </c>
      <c r="H345" s="2">
        <v>200</v>
      </c>
      <c r="I345" s="2">
        <v>16</v>
      </c>
      <c r="J345" s="2" t="s">
        <v>14</v>
      </c>
      <c r="K345" s="2">
        <f>VLOOKUP(A:A,[1]XuanStockQAResults!$A:$C,3,0)</f>
        <v>600</v>
      </c>
      <c r="L345" s="4">
        <f t="shared" ca="1" si="5"/>
        <v>23.599351041666523</v>
      </c>
    </row>
    <row r="346" spans="1:12" x14ac:dyDescent="0.2">
      <c r="A346" s="2" t="s">
        <v>514</v>
      </c>
      <c r="B346" s="3">
        <v>46225.350694444445</v>
      </c>
      <c r="C346" s="2" t="s">
        <v>12</v>
      </c>
      <c r="D346" s="2" t="s">
        <v>517</v>
      </c>
      <c r="E346" s="2">
        <v>1</v>
      </c>
      <c r="F346" s="2">
        <v>200</v>
      </c>
      <c r="G346" s="2">
        <v>0</v>
      </c>
      <c r="H346" s="2">
        <v>200</v>
      </c>
      <c r="I346" s="2">
        <v>16</v>
      </c>
      <c r="J346" s="2" t="s">
        <v>14</v>
      </c>
      <c r="K346" s="2">
        <f>VLOOKUP(A:A,[1]XuanStockQAResults!$A:$C,3,0)</f>
        <v>600</v>
      </c>
      <c r="L346" s="4">
        <f t="shared" ca="1" si="5"/>
        <v>23.598656597219815</v>
      </c>
    </row>
    <row r="347" spans="1:12" x14ac:dyDescent="0.2">
      <c r="A347" s="2" t="s">
        <v>514</v>
      </c>
      <c r="B347" s="3">
        <v>46225.351388888892</v>
      </c>
      <c r="C347" s="2" t="s">
        <v>12</v>
      </c>
      <c r="D347" s="2" t="s">
        <v>518</v>
      </c>
      <c r="E347" s="2">
        <v>1</v>
      </c>
      <c r="F347" s="2">
        <v>100</v>
      </c>
      <c r="G347" s="2">
        <v>0</v>
      </c>
      <c r="H347" s="2">
        <v>100</v>
      </c>
      <c r="I347" s="2">
        <v>10</v>
      </c>
      <c r="J347" s="2" t="s">
        <v>14</v>
      </c>
      <c r="K347" s="2">
        <f>VLOOKUP(A:A,[1]XuanStockQAResults!$A:$C,3,0)</f>
        <v>600</v>
      </c>
      <c r="L347" s="4">
        <f t="shared" ca="1" si="5"/>
        <v>23.597962152773107</v>
      </c>
    </row>
    <row r="348" spans="1:12" x14ac:dyDescent="0.2">
      <c r="A348" s="2" t="s">
        <v>519</v>
      </c>
      <c r="B348" s="3">
        <v>46225.35</v>
      </c>
      <c r="C348" s="2" t="s">
        <v>12</v>
      </c>
      <c r="D348" s="2" t="s">
        <v>516</v>
      </c>
      <c r="E348" s="2">
        <v>2</v>
      </c>
      <c r="F348" s="2">
        <v>100</v>
      </c>
      <c r="G348" s="2">
        <v>0</v>
      </c>
      <c r="H348" s="2">
        <v>100</v>
      </c>
      <c r="I348" s="2">
        <v>10</v>
      </c>
      <c r="J348" s="2" t="s">
        <v>14</v>
      </c>
      <c r="K348" s="2">
        <f>VLOOKUP(A:A,[1]XuanStockQAResults!$A:$C,3,0)</f>
        <v>108</v>
      </c>
      <c r="L348" s="4">
        <f t="shared" ca="1" si="5"/>
        <v>23.599351041666523</v>
      </c>
    </row>
    <row r="349" spans="1:12" x14ac:dyDescent="0.2">
      <c r="A349" s="2" t="s">
        <v>520</v>
      </c>
      <c r="B349" s="3">
        <v>46216.67291666667</v>
      </c>
      <c r="C349" s="2" t="s">
        <v>10</v>
      </c>
      <c r="D349" s="2" t="s">
        <v>521</v>
      </c>
      <c r="E349" s="2">
        <v>1</v>
      </c>
      <c r="F349" s="2">
        <v>184.5</v>
      </c>
      <c r="G349" s="2">
        <v>0</v>
      </c>
      <c r="H349" s="2">
        <v>184.5</v>
      </c>
      <c r="I349" s="2">
        <v>184.5</v>
      </c>
      <c r="J349" s="2" t="s">
        <v>17</v>
      </c>
      <c r="K349" s="2">
        <f>VLOOKUP(A:A,[1]XuanStockQAResults!$A:$C,3,0)</f>
        <v>184.5</v>
      </c>
      <c r="L349" s="4">
        <f t="shared" ca="1" si="5"/>
        <v>32.276434374995006</v>
      </c>
    </row>
    <row r="350" spans="1:12" x14ac:dyDescent="0.2">
      <c r="A350" s="2" t="s">
        <v>522</v>
      </c>
      <c r="B350" s="3">
        <v>46248.533333333333</v>
      </c>
      <c r="C350" s="2" t="s">
        <v>10</v>
      </c>
      <c r="D350" s="2" t="s">
        <v>523</v>
      </c>
      <c r="E350" s="2">
        <v>1</v>
      </c>
      <c r="F350" s="2">
        <v>500</v>
      </c>
      <c r="G350" s="2">
        <v>0</v>
      </c>
      <c r="H350" s="2">
        <v>500</v>
      </c>
      <c r="I350" s="2">
        <v>30</v>
      </c>
      <c r="J350" s="2" t="s">
        <v>14</v>
      </c>
      <c r="K350" s="2">
        <f>VLOOKUP(A:A,[1]XuanStockQAResults!$A:$C,3,0)</f>
        <v>500</v>
      </c>
      <c r="L350" s="4">
        <f t="shared" ca="1" si="5"/>
        <v>0.41601770833221963</v>
      </c>
    </row>
    <row r="351" spans="1:12" x14ac:dyDescent="0.2">
      <c r="A351" s="2" t="s">
        <v>524</v>
      </c>
      <c r="B351" s="3">
        <v>46217.65625</v>
      </c>
      <c r="C351" s="2" t="s">
        <v>12</v>
      </c>
      <c r="D351" s="2" t="s">
        <v>525</v>
      </c>
      <c r="E351" s="2">
        <v>1</v>
      </c>
      <c r="F351" s="2">
        <v>200</v>
      </c>
      <c r="G351" s="2">
        <v>0</v>
      </c>
      <c r="H351" s="2">
        <v>200</v>
      </c>
      <c r="I351" s="2">
        <v>16</v>
      </c>
      <c r="J351" s="2" t="s">
        <v>14</v>
      </c>
      <c r="K351" s="2">
        <f>VLOOKUP(A:A,[1]XuanStockQAResults!$A:$C,3,0)</f>
        <v>2000</v>
      </c>
      <c r="L351" s="4">
        <f t="shared" ca="1" si="5"/>
        <v>31.293101041665068</v>
      </c>
    </row>
    <row r="352" spans="1:12" x14ac:dyDescent="0.2">
      <c r="A352" s="2" t="s">
        <v>524</v>
      </c>
      <c r="B352" s="3">
        <v>46217.65625</v>
      </c>
      <c r="C352" s="2" t="s">
        <v>12</v>
      </c>
      <c r="D352" s="2" t="s">
        <v>526</v>
      </c>
      <c r="E352" s="2">
        <v>1</v>
      </c>
      <c r="F352" s="2">
        <v>400</v>
      </c>
      <c r="G352" s="2">
        <v>0</v>
      </c>
      <c r="H352" s="2">
        <v>400</v>
      </c>
      <c r="I352" s="2">
        <v>24</v>
      </c>
      <c r="J352" s="2" t="s">
        <v>14</v>
      </c>
      <c r="K352" s="2">
        <f>VLOOKUP(A:A,[1]XuanStockQAResults!$A:$C,3,0)</f>
        <v>2000</v>
      </c>
      <c r="L352" s="4">
        <f t="shared" ca="1" si="5"/>
        <v>31.293101041665068</v>
      </c>
    </row>
    <row r="353" spans="1:12" x14ac:dyDescent="0.2">
      <c r="A353" s="2" t="s">
        <v>524</v>
      </c>
      <c r="B353" s="3">
        <v>46217.65625</v>
      </c>
      <c r="C353" s="2" t="s">
        <v>12</v>
      </c>
      <c r="D353" s="2" t="s">
        <v>527</v>
      </c>
      <c r="E353" s="2">
        <v>1</v>
      </c>
      <c r="F353" s="2">
        <v>200</v>
      </c>
      <c r="G353" s="2">
        <v>0</v>
      </c>
      <c r="H353" s="2">
        <v>200</v>
      </c>
      <c r="I353" s="2">
        <v>16</v>
      </c>
      <c r="J353" s="2" t="s">
        <v>14</v>
      </c>
      <c r="K353" s="2">
        <f>VLOOKUP(A:A,[1]XuanStockQAResults!$A:$C,3,0)</f>
        <v>2000</v>
      </c>
      <c r="L353" s="4">
        <f t="shared" ca="1" si="5"/>
        <v>31.293101041665068</v>
      </c>
    </row>
    <row r="354" spans="1:12" x14ac:dyDescent="0.2">
      <c r="A354" s="2" t="s">
        <v>524</v>
      </c>
      <c r="B354" s="3">
        <v>46233.561805555553</v>
      </c>
      <c r="C354" s="2" t="s">
        <v>12</v>
      </c>
      <c r="D354" s="2" t="s">
        <v>528</v>
      </c>
      <c r="E354" s="2">
        <v>1</v>
      </c>
      <c r="F354" s="2">
        <v>600</v>
      </c>
      <c r="G354" s="2">
        <v>0</v>
      </c>
      <c r="H354" s="2">
        <v>600</v>
      </c>
      <c r="I354" s="2">
        <v>24</v>
      </c>
      <c r="J354" s="2" t="s">
        <v>14</v>
      </c>
      <c r="K354" s="2">
        <f>VLOOKUP(A:A,[1]XuanStockQAResults!$A:$C,3,0)</f>
        <v>2000</v>
      </c>
      <c r="L354" s="4">
        <f t="shared" ca="1" si="5"/>
        <v>15.387545486111776</v>
      </c>
    </row>
    <row r="355" spans="1:12" x14ac:dyDescent="0.2">
      <c r="A355" s="2" t="s">
        <v>524</v>
      </c>
      <c r="B355" s="3">
        <v>46233.561805555553</v>
      </c>
      <c r="C355" s="2" t="s">
        <v>12</v>
      </c>
      <c r="D355" s="2" t="s">
        <v>529</v>
      </c>
      <c r="E355" s="2">
        <v>1</v>
      </c>
      <c r="F355" s="2">
        <v>600</v>
      </c>
      <c r="G355" s="2">
        <v>0</v>
      </c>
      <c r="H355" s="2">
        <v>600</v>
      </c>
      <c r="I355" s="2">
        <v>24</v>
      </c>
      <c r="J355" s="2" t="s">
        <v>14</v>
      </c>
      <c r="K355" s="2">
        <f>VLOOKUP(A:A,[1]XuanStockQAResults!$A:$C,3,0)</f>
        <v>2000</v>
      </c>
      <c r="L355" s="4">
        <f t="shared" ca="1" si="5"/>
        <v>15.387545486111776</v>
      </c>
    </row>
    <row r="356" spans="1:12" x14ac:dyDescent="0.2">
      <c r="A356" s="2" t="s">
        <v>530</v>
      </c>
      <c r="B356" s="3">
        <v>46214.387499999997</v>
      </c>
      <c r="C356" s="2" t="s">
        <v>12</v>
      </c>
      <c r="D356" s="2" t="s">
        <v>531</v>
      </c>
      <c r="E356" s="2">
        <v>2</v>
      </c>
      <c r="F356" s="2">
        <v>400</v>
      </c>
      <c r="G356" s="2">
        <v>0</v>
      </c>
      <c r="H356" s="2">
        <v>400</v>
      </c>
      <c r="I356" s="2">
        <v>24</v>
      </c>
      <c r="J356" s="2" t="s">
        <v>14</v>
      </c>
      <c r="K356" s="2">
        <f>VLOOKUP(A:A,[1]XuanStockQAResults!$A:$C,3,0)</f>
        <v>800</v>
      </c>
      <c r="L356" s="4">
        <f t="shared" ca="1" si="5"/>
        <v>34.561851041667978</v>
      </c>
    </row>
    <row r="357" spans="1:12" x14ac:dyDescent="0.2">
      <c r="A357" s="2" t="s">
        <v>530</v>
      </c>
      <c r="B357" s="3">
        <v>46214.387499999997</v>
      </c>
      <c r="C357" s="2" t="s">
        <v>12</v>
      </c>
      <c r="D357" s="2" t="s">
        <v>532</v>
      </c>
      <c r="E357" s="2">
        <v>3</v>
      </c>
      <c r="F357" s="2">
        <v>400</v>
      </c>
      <c r="G357" s="2">
        <v>0</v>
      </c>
      <c r="H357" s="2">
        <v>400</v>
      </c>
      <c r="I357" s="2">
        <v>24</v>
      </c>
      <c r="J357" s="2" t="s">
        <v>14</v>
      </c>
      <c r="K357" s="2">
        <f>VLOOKUP(A:A,[1]XuanStockQAResults!$A:$C,3,0)</f>
        <v>800</v>
      </c>
      <c r="L357" s="4">
        <f t="shared" ca="1" si="5"/>
        <v>34.561851041667978</v>
      </c>
    </row>
    <row r="358" spans="1:12" x14ac:dyDescent="0.2">
      <c r="A358" s="2" t="s">
        <v>533</v>
      </c>
      <c r="B358" s="3">
        <v>46233.561805555553</v>
      </c>
      <c r="C358" s="2" t="s">
        <v>12</v>
      </c>
      <c r="D358" s="2" t="s">
        <v>534</v>
      </c>
      <c r="E358" s="2">
        <v>1</v>
      </c>
      <c r="F358" s="2">
        <v>400</v>
      </c>
      <c r="G358" s="2">
        <v>0</v>
      </c>
      <c r="H358" s="2">
        <v>400</v>
      </c>
      <c r="I358" s="2">
        <v>24</v>
      </c>
      <c r="J358" s="2" t="s">
        <v>14</v>
      </c>
      <c r="K358" s="2">
        <f>VLOOKUP(A:A,[1]XuanStockQAResults!$A:$C,3,0)</f>
        <v>1000</v>
      </c>
      <c r="L358" s="4">
        <f t="shared" ca="1" si="5"/>
        <v>15.387545486111776</v>
      </c>
    </row>
    <row r="359" spans="1:12" x14ac:dyDescent="0.2">
      <c r="A359" s="2" t="s">
        <v>533</v>
      </c>
      <c r="B359" s="3">
        <v>46233.561805555553</v>
      </c>
      <c r="C359" s="2" t="s">
        <v>12</v>
      </c>
      <c r="D359" s="2" t="s">
        <v>529</v>
      </c>
      <c r="E359" s="2">
        <v>2</v>
      </c>
      <c r="F359" s="2">
        <v>600</v>
      </c>
      <c r="G359" s="2">
        <v>0</v>
      </c>
      <c r="H359" s="2">
        <v>600</v>
      </c>
      <c r="I359" s="2">
        <v>24</v>
      </c>
      <c r="J359" s="2" t="s">
        <v>14</v>
      </c>
      <c r="K359" s="2">
        <f>VLOOKUP(A:A,[1]XuanStockQAResults!$A:$C,3,0)</f>
        <v>1000</v>
      </c>
      <c r="L359" s="4">
        <f t="shared" ca="1" si="5"/>
        <v>15.387545486111776</v>
      </c>
    </row>
    <row r="360" spans="1:12" x14ac:dyDescent="0.2">
      <c r="A360" s="2" t="s">
        <v>535</v>
      </c>
      <c r="B360" s="3">
        <v>46218.334722222222</v>
      </c>
      <c r="C360" s="2" t="s">
        <v>12</v>
      </c>
      <c r="D360" s="2" t="s">
        <v>328</v>
      </c>
      <c r="E360" s="2">
        <v>2</v>
      </c>
      <c r="F360" s="2">
        <v>50</v>
      </c>
      <c r="G360" s="2">
        <v>0</v>
      </c>
      <c r="H360" s="2">
        <v>50</v>
      </c>
      <c r="I360" s="2">
        <v>5</v>
      </c>
      <c r="J360" s="2" t="s">
        <v>14</v>
      </c>
      <c r="K360" s="2">
        <f>VLOOKUP(A:A,[1]XuanStockQAResults!$A:$C,3,0)</f>
        <v>50</v>
      </c>
      <c r="L360" s="4">
        <f t="shared" ca="1" si="5"/>
        <v>30.614628819443169</v>
      </c>
    </row>
    <row r="361" spans="1:12" x14ac:dyDescent="0.2">
      <c r="A361" s="2" t="s">
        <v>536</v>
      </c>
      <c r="B361" s="3">
        <v>46238.569444444445</v>
      </c>
      <c r="C361" s="2" t="s">
        <v>12</v>
      </c>
      <c r="D361" s="2" t="s">
        <v>537</v>
      </c>
      <c r="E361" s="2">
        <v>1</v>
      </c>
      <c r="F361" s="2">
        <v>50</v>
      </c>
      <c r="G361" s="2">
        <v>0</v>
      </c>
      <c r="H361" s="2">
        <v>50</v>
      </c>
      <c r="I361" s="2">
        <v>5</v>
      </c>
      <c r="J361" s="2" t="s">
        <v>14</v>
      </c>
      <c r="K361" s="2">
        <f>VLOOKUP(A:A,[1]XuanStockQAResults!$A:$C,3,0)</f>
        <v>50</v>
      </c>
      <c r="L361" s="4">
        <f t="shared" ca="1" si="5"/>
        <v>10.379906597219815</v>
      </c>
    </row>
    <row r="362" spans="1:12" x14ac:dyDescent="0.2">
      <c r="A362" s="2" t="s">
        <v>538</v>
      </c>
      <c r="B362" s="3">
        <v>46238.568749999999</v>
      </c>
      <c r="C362" s="2" t="s">
        <v>12</v>
      </c>
      <c r="D362" s="2" t="s">
        <v>20</v>
      </c>
      <c r="E362" s="2">
        <v>11</v>
      </c>
      <c r="F362" s="2">
        <v>5</v>
      </c>
      <c r="G362" s="2">
        <v>0</v>
      </c>
      <c r="H362" s="2">
        <v>5</v>
      </c>
      <c r="I362" s="2">
        <v>5</v>
      </c>
      <c r="J362" s="2" t="s">
        <v>14</v>
      </c>
      <c r="K362" s="2">
        <f>VLOOKUP(A:A,[1]XuanStockQAResults!$A:$C,3,0)</f>
        <v>5</v>
      </c>
      <c r="L362" s="4">
        <f t="shared" ca="1" si="5"/>
        <v>10.380601041666523</v>
      </c>
    </row>
    <row r="363" spans="1:12" x14ac:dyDescent="0.2">
      <c r="A363" s="2" t="s">
        <v>539</v>
      </c>
      <c r="B363" s="3">
        <v>46238.568749999999</v>
      </c>
      <c r="C363" s="2" t="s">
        <v>12</v>
      </c>
      <c r="D363" s="2" t="s">
        <v>540</v>
      </c>
      <c r="E363" s="2">
        <v>2</v>
      </c>
      <c r="F363" s="2">
        <v>10</v>
      </c>
      <c r="G363" s="2">
        <v>0</v>
      </c>
      <c r="H363" s="2">
        <v>10</v>
      </c>
      <c r="I363" s="2">
        <v>5</v>
      </c>
      <c r="J363" s="2" t="s">
        <v>14</v>
      </c>
      <c r="K363" s="2">
        <f>VLOOKUP(A:A,[1]XuanStockQAResults!$A:$C,3,0)</f>
        <v>10</v>
      </c>
      <c r="L363" s="4">
        <f t="shared" ca="1" si="5"/>
        <v>10.380601041666523</v>
      </c>
    </row>
    <row r="364" spans="1:12" x14ac:dyDescent="0.2">
      <c r="A364" s="2" t="s">
        <v>541</v>
      </c>
      <c r="B364" s="3">
        <v>46234.35833333333</v>
      </c>
      <c r="C364" s="2" t="s">
        <v>12</v>
      </c>
      <c r="D364" s="2" t="s">
        <v>542</v>
      </c>
      <c r="E364" s="2">
        <v>1</v>
      </c>
      <c r="F364" s="2">
        <v>18</v>
      </c>
      <c r="G364" s="2">
        <v>0</v>
      </c>
      <c r="H364" s="2">
        <v>18</v>
      </c>
      <c r="I364" s="2">
        <v>4</v>
      </c>
      <c r="J364" s="2" t="s">
        <v>14</v>
      </c>
      <c r="K364" s="2">
        <f>VLOOKUP(A:A,[1]XuanStockQAResults!$A:$C,3,0)</f>
        <v>23</v>
      </c>
      <c r="L364" s="4">
        <f t="shared" ca="1" si="5"/>
        <v>14.59101770833513</v>
      </c>
    </row>
    <row r="365" spans="1:12" x14ac:dyDescent="0.2">
      <c r="A365" s="2" t="s">
        <v>541</v>
      </c>
      <c r="B365" s="3">
        <v>46234.359027777777</v>
      </c>
      <c r="C365" s="2" t="s">
        <v>12</v>
      </c>
      <c r="D365" s="2" t="s">
        <v>543</v>
      </c>
      <c r="E365" s="2">
        <v>1</v>
      </c>
      <c r="F365" s="2">
        <v>4</v>
      </c>
      <c r="G365" s="2">
        <v>0</v>
      </c>
      <c r="H365" s="2">
        <v>4</v>
      </c>
      <c r="I365" s="2">
        <v>4</v>
      </c>
      <c r="J365" s="2" t="s">
        <v>14</v>
      </c>
      <c r="K365" s="2">
        <f>VLOOKUP(A:A,[1]XuanStockQAResults!$A:$C,3,0)</f>
        <v>23</v>
      </c>
      <c r="L365" s="4">
        <f t="shared" ca="1" si="5"/>
        <v>14.590323263888422</v>
      </c>
    </row>
    <row r="366" spans="1:12" x14ac:dyDescent="0.2">
      <c r="A366" s="2" t="s">
        <v>541</v>
      </c>
      <c r="B366" s="3">
        <v>46234.359027777777</v>
      </c>
      <c r="C366" s="2" t="s">
        <v>12</v>
      </c>
      <c r="D366" s="2" t="s">
        <v>544</v>
      </c>
      <c r="E366" s="2">
        <v>1</v>
      </c>
      <c r="F366" s="2">
        <v>1</v>
      </c>
      <c r="G366" s="2">
        <v>0</v>
      </c>
      <c r="H366" s="2">
        <v>1</v>
      </c>
      <c r="I366" s="2">
        <v>1</v>
      </c>
      <c r="J366" s="2" t="s">
        <v>14</v>
      </c>
      <c r="K366" s="2">
        <f>VLOOKUP(A:A,[1]XuanStockQAResults!$A:$C,3,0)</f>
        <v>23</v>
      </c>
      <c r="L366" s="4">
        <f t="shared" ca="1" si="5"/>
        <v>14.590323263888422</v>
      </c>
    </row>
    <row r="367" spans="1:12" x14ac:dyDescent="0.2">
      <c r="A367" s="2" t="s">
        <v>545</v>
      </c>
      <c r="B367" s="3">
        <v>46238.569444444445</v>
      </c>
      <c r="C367" s="2" t="s">
        <v>12</v>
      </c>
      <c r="D367" s="2" t="s">
        <v>546</v>
      </c>
      <c r="E367" s="2">
        <v>2</v>
      </c>
      <c r="F367" s="2">
        <v>10</v>
      </c>
      <c r="G367" s="2">
        <v>0</v>
      </c>
      <c r="H367" s="2">
        <v>10</v>
      </c>
      <c r="I367" s="2">
        <v>5</v>
      </c>
      <c r="J367" s="2" t="s">
        <v>14</v>
      </c>
      <c r="K367" s="2">
        <f>VLOOKUP(A:A,[1]XuanStockQAResults!$A:$C,3,0)</f>
        <v>10</v>
      </c>
      <c r="L367" s="4">
        <f t="shared" ca="1" si="5"/>
        <v>10.379906597219815</v>
      </c>
    </row>
    <row r="368" spans="1:12" x14ac:dyDescent="0.2">
      <c r="A368" s="2" t="s">
        <v>547</v>
      </c>
      <c r="B368" s="3">
        <v>46238.418749999997</v>
      </c>
      <c r="C368" s="2" t="s">
        <v>12</v>
      </c>
      <c r="D368" s="2" t="s">
        <v>548</v>
      </c>
      <c r="E368" s="2">
        <v>1</v>
      </c>
      <c r="F368" s="2">
        <v>100</v>
      </c>
      <c r="G368" s="2">
        <v>0</v>
      </c>
      <c r="H368" s="2">
        <v>100</v>
      </c>
      <c r="I368" s="2">
        <v>10</v>
      </c>
      <c r="J368" s="2" t="s">
        <v>14</v>
      </c>
      <c r="K368" s="2">
        <f>VLOOKUP(A:A,[1]XuanStockQAResults!$A:$C,3,0)</f>
        <v>100</v>
      </c>
      <c r="L368" s="4">
        <f t="shared" ca="1" si="5"/>
        <v>10.530601041667978</v>
      </c>
    </row>
    <row r="369" spans="1:12" x14ac:dyDescent="0.2">
      <c r="A369" s="2" t="s">
        <v>549</v>
      </c>
      <c r="B369" s="3">
        <v>46238.418749999997</v>
      </c>
      <c r="C369" s="2" t="s">
        <v>12</v>
      </c>
      <c r="D369" s="2" t="s">
        <v>550</v>
      </c>
      <c r="E369" s="2">
        <v>1</v>
      </c>
      <c r="F369" s="2">
        <v>75</v>
      </c>
      <c r="G369" s="2">
        <v>0</v>
      </c>
      <c r="H369" s="2">
        <v>75</v>
      </c>
      <c r="I369" s="2">
        <v>8</v>
      </c>
      <c r="J369" s="2" t="s">
        <v>14</v>
      </c>
      <c r="K369" s="2">
        <f>VLOOKUP(A:A,[1]XuanStockQAResults!$A:$C,3,0)</f>
        <v>175</v>
      </c>
      <c r="L369" s="4">
        <f t="shared" ca="1" si="5"/>
        <v>10.530601041667978</v>
      </c>
    </row>
    <row r="370" spans="1:12" x14ac:dyDescent="0.2">
      <c r="A370" s="2" t="s">
        <v>549</v>
      </c>
      <c r="B370" s="3">
        <v>46238.418749999997</v>
      </c>
      <c r="C370" s="2" t="s">
        <v>12</v>
      </c>
      <c r="D370" s="2" t="s">
        <v>548</v>
      </c>
      <c r="E370" s="2">
        <v>2</v>
      </c>
      <c r="F370" s="2">
        <v>100</v>
      </c>
      <c r="G370" s="2">
        <v>0</v>
      </c>
      <c r="H370" s="2">
        <v>100</v>
      </c>
      <c r="I370" s="2">
        <v>10</v>
      </c>
      <c r="J370" s="2" t="s">
        <v>14</v>
      </c>
      <c r="K370" s="2">
        <f>VLOOKUP(A:A,[1]XuanStockQAResults!$A:$C,3,0)</f>
        <v>175</v>
      </c>
      <c r="L370" s="4">
        <f t="shared" ca="1" si="5"/>
        <v>10.530601041667978</v>
      </c>
    </row>
    <row r="371" spans="1:12" x14ac:dyDescent="0.2">
      <c r="A371" s="2" t="s">
        <v>551</v>
      </c>
      <c r="B371" s="3">
        <v>46238.419444444444</v>
      </c>
      <c r="C371" s="2" t="s">
        <v>12</v>
      </c>
      <c r="D371" s="2" t="s">
        <v>198</v>
      </c>
      <c r="E371" s="2">
        <v>7</v>
      </c>
      <c r="F371" s="2">
        <v>200</v>
      </c>
      <c r="G371" s="2">
        <v>0</v>
      </c>
      <c r="H371" s="2">
        <v>200</v>
      </c>
      <c r="I371" s="2">
        <v>16</v>
      </c>
      <c r="J371" s="2" t="s">
        <v>14</v>
      </c>
      <c r="K371" s="2">
        <f>VLOOKUP(A:A,[1]XuanStockQAResults!$A:$C,3,0)</f>
        <v>350</v>
      </c>
      <c r="L371" s="4">
        <f t="shared" ca="1" si="5"/>
        <v>10.52990659722127</v>
      </c>
    </row>
    <row r="372" spans="1:12" x14ac:dyDescent="0.2">
      <c r="A372" s="2" t="s">
        <v>551</v>
      </c>
      <c r="B372" s="3">
        <v>46238.568749999999</v>
      </c>
      <c r="C372" s="2" t="s">
        <v>12</v>
      </c>
      <c r="D372" s="2" t="s">
        <v>19</v>
      </c>
      <c r="E372" s="2">
        <v>13</v>
      </c>
      <c r="F372" s="2">
        <v>50</v>
      </c>
      <c r="G372" s="2">
        <v>0</v>
      </c>
      <c r="H372" s="2">
        <v>50</v>
      </c>
      <c r="I372" s="2">
        <v>5</v>
      </c>
      <c r="J372" s="2" t="s">
        <v>14</v>
      </c>
      <c r="K372" s="2">
        <f>VLOOKUP(A:A,[1]XuanStockQAResults!$A:$C,3,0)</f>
        <v>350</v>
      </c>
      <c r="L372" s="4">
        <f t="shared" ca="1" si="5"/>
        <v>10.380601041666523</v>
      </c>
    </row>
    <row r="373" spans="1:12" x14ac:dyDescent="0.2">
      <c r="A373" s="2" t="s">
        <v>551</v>
      </c>
      <c r="B373" s="3">
        <v>46238.568749999999</v>
      </c>
      <c r="C373" s="2" t="s">
        <v>12</v>
      </c>
      <c r="D373" s="2" t="s">
        <v>20</v>
      </c>
      <c r="E373" s="2">
        <v>12</v>
      </c>
      <c r="F373" s="2">
        <v>100</v>
      </c>
      <c r="G373" s="2">
        <v>0</v>
      </c>
      <c r="H373" s="2">
        <v>100</v>
      </c>
      <c r="I373" s="2">
        <v>10</v>
      </c>
      <c r="J373" s="2" t="s">
        <v>14</v>
      </c>
      <c r="K373" s="2">
        <f>VLOOKUP(A:A,[1]XuanStockQAResults!$A:$C,3,0)</f>
        <v>350</v>
      </c>
      <c r="L373" s="4">
        <f t="shared" ca="1" si="5"/>
        <v>10.380601041666523</v>
      </c>
    </row>
    <row r="374" spans="1:12" x14ac:dyDescent="0.2">
      <c r="A374" s="2" t="s">
        <v>552</v>
      </c>
      <c r="B374" s="3">
        <v>46248.644444444442</v>
      </c>
      <c r="C374" s="2" t="s">
        <v>10</v>
      </c>
      <c r="D374" s="2" t="s">
        <v>553</v>
      </c>
      <c r="E374" s="2">
        <v>1</v>
      </c>
      <c r="F374" s="2">
        <v>210</v>
      </c>
      <c r="G374" s="2">
        <v>0</v>
      </c>
      <c r="H374" s="2">
        <v>210</v>
      </c>
      <c r="I374" s="2">
        <v>13</v>
      </c>
      <c r="J374" s="2" t="s">
        <v>14</v>
      </c>
      <c r="K374" s="2">
        <f>VLOOKUP(A:A,[1]XuanStockQAResults!$A:$C,3,0)</f>
        <v>210</v>
      </c>
      <c r="L374" s="4">
        <f t="shared" ca="1" si="5"/>
        <v>0.3049065972227254</v>
      </c>
    </row>
    <row r="375" spans="1:12" x14ac:dyDescent="0.2">
      <c r="A375" s="2" t="s">
        <v>554</v>
      </c>
      <c r="B375" s="3">
        <v>46233.615972222222</v>
      </c>
      <c r="C375" s="2" t="s">
        <v>12</v>
      </c>
      <c r="D375" s="2" t="s">
        <v>555</v>
      </c>
      <c r="E375" s="2">
        <v>1</v>
      </c>
      <c r="F375" s="2">
        <v>50</v>
      </c>
      <c r="G375" s="2">
        <v>0</v>
      </c>
      <c r="H375" s="2">
        <v>50</v>
      </c>
      <c r="I375" s="2">
        <v>5</v>
      </c>
      <c r="J375" s="2" t="s">
        <v>14</v>
      </c>
      <c r="K375" s="2">
        <f>VLOOKUP(A:A,[1]XuanStockQAResults!$A:$C,3,0)</f>
        <v>50</v>
      </c>
      <c r="L375" s="4">
        <f t="shared" ca="1" si="5"/>
        <v>15.333378819443169</v>
      </c>
    </row>
    <row r="376" spans="1:12" x14ac:dyDescent="0.2">
      <c r="A376" s="2" t="s">
        <v>556</v>
      </c>
      <c r="B376" s="3">
        <v>46227.334027777775</v>
      </c>
      <c r="C376" s="2" t="s">
        <v>12</v>
      </c>
      <c r="D376" s="2" t="s">
        <v>557</v>
      </c>
      <c r="E376" s="2">
        <v>1</v>
      </c>
      <c r="F376" s="2">
        <v>100</v>
      </c>
      <c r="G376" s="2">
        <v>0</v>
      </c>
      <c r="H376" s="2">
        <v>100</v>
      </c>
      <c r="I376" s="2">
        <v>10</v>
      </c>
      <c r="J376" s="2" t="s">
        <v>14</v>
      </c>
      <c r="K376" s="2">
        <f>VLOOKUP(A:A,[1]XuanStockQAResults!$A:$C,3,0)</f>
        <v>100</v>
      </c>
      <c r="L376" s="4">
        <f t="shared" ca="1" si="5"/>
        <v>21.615323263889877</v>
      </c>
    </row>
    <row r="377" spans="1:12" x14ac:dyDescent="0.2">
      <c r="A377" s="2" t="s">
        <v>558</v>
      </c>
      <c r="B377" s="3">
        <v>46245.32708333333</v>
      </c>
      <c r="C377" s="2" t="s">
        <v>12</v>
      </c>
      <c r="D377" s="2" t="s">
        <v>559</v>
      </c>
      <c r="E377" s="2">
        <v>1</v>
      </c>
      <c r="F377" s="2">
        <v>200</v>
      </c>
      <c r="G377" s="2">
        <v>0</v>
      </c>
      <c r="H377" s="2">
        <v>200</v>
      </c>
      <c r="I377" s="2">
        <v>16</v>
      </c>
      <c r="J377" s="2" t="s">
        <v>14</v>
      </c>
      <c r="K377" s="2">
        <f>VLOOKUP(A:A,[1]XuanStockQAResults!$A:$C,3,0)</f>
        <v>200</v>
      </c>
      <c r="L377" s="4">
        <f t="shared" ca="1" si="5"/>
        <v>3.62226770833513</v>
      </c>
    </row>
    <row r="378" spans="1:12" x14ac:dyDescent="0.2">
      <c r="A378" s="2" t="s">
        <v>560</v>
      </c>
      <c r="B378" s="3">
        <v>46237.409722222219</v>
      </c>
      <c r="C378" s="2" t="s">
        <v>12</v>
      </c>
      <c r="D378" s="2" t="s">
        <v>561</v>
      </c>
      <c r="E378" s="2">
        <v>1</v>
      </c>
      <c r="F378" s="2">
        <v>142</v>
      </c>
      <c r="G378" s="2">
        <v>0</v>
      </c>
      <c r="H378" s="2">
        <v>142</v>
      </c>
      <c r="I378" s="2">
        <v>12</v>
      </c>
      <c r="J378" s="2" t="s">
        <v>14</v>
      </c>
      <c r="K378" s="2">
        <f>VLOOKUP(A:A,[1]XuanStockQAResults!$A:$C,3,0)</f>
        <v>142</v>
      </c>
      <c r="L378" s="4">
        <f t="shared" ca="1" si="5"/>
        <v>11.539628819446079</v>
      </c>
    </row>
    <row r="379" spans="1:12" x14ac:dyDescent="0.2">
      <c r="A379" s="2" t="s">
        <v>562</v>
      </c>
      <c r="B379" s="3">
        <v>46227.356249999997</v>
      </c>
      <c r="C379" s="2" t="s">
        <v>10</v>
      </c>
      <c r="D379" s="2" t="s">
        <v>563</v>
      </c>
      <c r="E379" s="2">
        <v>1</v>
      </c>
      <c r="F379" s="2">
        <v>420</v>
      </c>
      <c r="G379" s="2">
        <v>0</v>
      </c>
      <c r="H379" s="2">
        <v>420</v>
      </c>
      <c r="I379" s="2">
        <v>26</v>
      </c>
      <c r="J379" s="2" t="s">
        <v>14</v>
      </c>
      <c r="K379" s="2">
        <f>VLOOKUP(A:A,[1]XuanStockQAResults!$A:$C,3,0)</f>
        <v>918</v>
      </c>
      <c r="L379" s="4">
        <f t="shared" ca="1" si="5"/>
        <v>21.593101041667978</v>
      </c>
    </row>
    <row r="380" spans="1:12" x14ac:dyDescent="0.2">
      <c r="A380" s="2" t="s">
        <v>562</v>
      </c>
      <c r="B380" s="3">
        <v>46241.374305555553</v>
      </c>
      <c r="C380" s="2" t="s">
        <v>10</v>
      </c>
      <c r="D380" s="2" t="s">
        <v>564</v>
      </c>
      <c r="E380" s="2">
        <v>1</v>
      </c>
      <c r="F380" s="2">
        <v>105</v>
      </c>
      <c r="G380" s="2">
        <v>0</v>
      </c>
      <c r="H380" s="2">
        <v>105</v>
      </c>
      <c r="I380" s="2">
        <v>9</v>
      </c>
      <c r="J380" s="2" t="s">
        <v>14</v>
      </c>
      <c r="K380" s="2">
        <f>VLOOKUP(A:A,[1]XuanStockQAResults!$A:$C,3,0)</f>
        <v>918</v>
      </c>
      <c r="L380" s="4">
        <f t="shared" ca="1" si="5"/>
        <v>7.575045486111776</v>
      </c>
    </row>
    <row r="381" spans="1:12" x14ac:dyDescent="0.2">
      <c r="A381" s="2" t="s">
        <v>562</v>
      </c>
      <c r="B381" s="3">
        <v>46241.394444444442</v>
      </c>
      <c r="C381" s="2" t="s">
        <v>10</v>
      </c>
      <c r="D381" s="2" t="s">
        <v>565</v>
      </c>
      <c r="E381" s="2">
        <v>1</v>
      </c>
      <c r="F381" s="2">
        <v>393</v>
      </c>
      <c r="G381" s="2">
        <v>0</v>
      </c>
      <c r="H381" s="2">
        <v>393</v>
      </c>
      <c r="I381" s="2">
        <v>24</v>
      </c>
      <c r="J381" s="2" t="s">
        <v>14</v>
      </c>
      <c r="K381" s="2">
        <f>VLOOKUP(A:A,[1]XuanStockQAResults!$A:$C,3,0)</f>
        <v>918</v>
      </c>
      <c r="L381" s="4">
        <f t="shared" ca="1" si="5"/>
        <v>7.5549065972227254</v>
      </c>
    </row>
    <row r="382" spans="1:12" x14ac:dyDescent="0.2">
      <c r="A382" s="2" t="s">
        <v>566</v>
      </c>
      <c r="B382" s="3">
        <v>46246.538888888892</v>
      </c>
      <c r="C382" s="2" t="s">
        <v>12</v>
      </c>
      <c r="D382" s="2" t="s">
        <v>429</v>
      </c>
      <c r="E382" s="2">
        <v>2</v>
      </c>
      <c r="F382" s="2">
        <v>28</v>
      </c>
      <c r="G382" s="2">
        <v>0</v>
      </c>
      <c r="H382" s="2">
        <v>28</v>
      </c>
      <c r="I382" s="2">
        <v>3</v>
      </c>
      <c r="J382" s="2" t="s">
        <v>14</v>
      </c>
      <c r="K382" s="2">
        <f>VLOOKUP(A:A,[1]XuanStockQAResults!$A:$C,3,0)</f>
        <v>156</v>
      </c>
      <c r="L382" s="4">
        <f t="shared" ca="1" si="5"/>
        <v>2.4104621527731069</v>
      </c>
    </row>
    <row r="383" spans="1:12" x14ac:dyDescent="0.2">
      <c r="A383" s="2" t="s">
        <v>566</v>
      </c>
      <c r="B383" s="3">
        <v>46246.549305555556</v>
      </c>
      <c r="C383" s="2" t="s">
        <v>12</v>
      </c>
      <c r="D383" s="2" t="s">
        <v>131</v>
      </c>
      <c r="E383" s="2">
        <v>4</v>
      </c>
      <c r="F383" s="2">
        <v>128</v>
      </c>
      <c r="G383" s="2">
        <v>0</v>
      </c>
      <c r="H383" s="2">
        <v>128</v>
      </c>
      <c r="I383" s="2">
        <v>11</v>
      </c>
      <c r="J383" s="2" t="s">
        <v>14</v>
      </c>
      <c r="K383" s="2">
        <f>VLOOKUP(A:A,[1]XuanStockQAResults!$A:$C,3,0)</f>
        <v>156</v>
      </c>
      <c r="L383" s="4">
        <f t="shared" ca="1" si="5"/>
        <v>2.4000454861088656</v>
      </c>
    </row>
    <row r="384" spans="1:12" x14ac:dyDescent="0.2">
      <c r="A384" s="2" t="s">
        <v>567</v>
      </c>
      <c r="B384" s="3">
        <v>46248.642361111109</v>
      </c>
      <c r="C384" s="2" t="s">
        <v>10</v>
      </c>
      <c r="D384" s="2" t="s">
        <v>568</v>
      </c>
      <c r="E384" s="2">
        <v>1</v>
      </c>
      <c r="F384" s="2">
        <v>200</v>
      </c>
      <c r="G384" s="2">
        <v>0</v>
      </c>
      <c r="H384" s="2">
        <v>200</v>
      </c>
      <c r="I384" s="2">
        <v>16</v>
      </c>
      <c r="J384" s="2" t="s">
        <v>14</v>
      </c>
      <c r="K384" s="2">
        <f>VLOOKUP(A:A,[1]XuanStockQAResults!$A:$C,3,0)</f>
        <v>200</v>
      </c>
      <c r="L384" s="4">
        <f t="shared" ca="1" si="5"/>
        <v>0.30698993055557366</v>
      </c>
    </row>
    <row r="385" spans="1:12" x14ac:dyDescent="0.2">
      <c r="A385" s="2" t="s">
        <v>569</v>
      </c>
      <c r="B385" s="3">
        <v>46216.421527777777</v>
      </c>
      <c r="C385" s="2" t="s">
        <v>12</v>
      </c>
      <c r="D385" s="2" t="s">
        <v>570</v>
      </c>
      <c r="E385" s="2">
        <v>2</v>
      </c>
      <c r="F385" s="2">
        <v>200</v>
      </c>
      <c r="G385" s="2">
        <v>0</v>
      </c>
      <c r="H385" s="2">
        <v>200</v>
      </c>
      <c r="I385" s="2">
        <v>16</v>
      </c>
      <c r="J385" s="2" t="s">
        <v>14</v>
      </c>
      <c r="K385" s="2">
        <f>VLOOKUP(A:A,[1]XuanStockQAResults!$A:$C,3,0)</f>
        <v>200</v>
      </c>
      <c r="L385" s="4">
        <f t="shared" ca="1" si="5"/>
        <v>32.527823263888422</v>
      </c>
    </row>
    <row r="386" spans="1:12" x14ac:dyDescent="0.2">
      <c r="A386" s="2" t="s">
        <v>571</v>
      </c>
      <c r="B386" s="3">
        <v>46245.678472222222</v>
      </c>
      <c r="C386" s="2" t="s">
        <v>10</v>
      </c>
      <c r="D386" s="2" t="s">
        <v>572</v>
      </c>
      <c r="E386" s="2">
        <v>1</v>
      </c>
      <c r="F386" s="2">
        <v>100</v>
      </c>
      <c r="G386" s="2">
        <v>0</v>
      </c>
      <c r="H386" s="2">
        <v>100</v>
      </c>
      <c r="I386" s="2">
        <v>10</v>
      </c>
      <c r="J386" s="2" t="s">
        <v>14</v>
      </c>
      <c r="K386" s="2">
        <f>VLOOKUP(A:A,[1]XuanStockQAResults!$A:$C,3,0)</f>
        <v>100</v>
      </c>
      <c r="L386" s="4">
        <f t="shared" ca="1" si="5"/>
        <v>3.270878819443169</v>
      </c>
    </row>
    <row r="387" spans="1:12" x14ac:dyDescent="0.2">
      <c r="A387" s="2" t="s">
        <v>573</v>
      </c>
      <c r="B387" s="3">
        <v>46247.395138888889</v>
      </c>
      <c r="C387" s="2" t="s">
        <v>10</v>
      </c>
      <c r="D387" s="2" t="s">
        <v>412</v>
      </c>
      <c r="E387" s="2">
        <v>2</v>
      </c>
      <c r="F387" s="2">
        <v>300</v>
      </c>
      <c r="G387" s="2">
        <v>0</v>
      </c>
      <c r="H387" s="2">
        <v>300</v>
      </c>
      <c r="I387" s="2">
        <v>18</v>
      </c>
      <c r="J387" s="2" t="s">
        <v>14</v>
      </c>
      <c r="K387" s="2">
        <f>VLOOKUP(A:A,[1]XuanStockQAResults!$A:$C,3,0)</f>
        <v>300</v>
      </c>
      <c r="L387" s="4">
        <f t="shared" ref="L387:L450" ca="1" si="6">NOW()-B387</f>
        <v>1.5542121527760173</v>
      </c>
    </row>
    <row r="388" spans="1:12" x14ac:dyDescent="0.2">
      <c r="A388" s="2" t="s">
        <v>574</v>
      </c>
      <c r="B388" s="3">
        <v>46226.67083333333</v>
      </c>
      <c r="C388" s="2" t="s">
        <v>10</v>
      </c>
      <c r="D388" s="2" t="s">
        <v>575</v>
      </c>
      <c r="E388" s="2">
        <v>2</v>
      </c>
      <c r="F388" s="2">
        <v>500</v>
      </c>
      <c r="G388" s="2">
        <v>0</v>
      </c>
      <c r="H388" s="2">
        <v>500</v>
      </c>
      <c r="I388" s="2">
        <v>30</v>
      </c>
      <c r="J388" s="2" t="s">
        <v>14</v>
      </c>
      <c r="K388" s="2">
        <f>VLOOKUP(A:A,[1]XuanStockQAResults!$A:$C,3,0)</f>
        <v>500</v>
      </c>
      <c r="L388" s="4">
        <f t="shared" ca="1" si="6"/>
        <v>22.27851770833513</v>
      </c>
    </row>
    <row r="389" spans="1:12" x14ac:dyDescent="0.2">
      <c r="A389" s="2" t="s">
        <v>576</v>
      </c>
      <c r="B389" s="3">
        <v>46248.606944444444</v>
      </c>
      <c r="C389" s="2" t="s">
        <v>12</v>
      </c>
      <c r="D389" s="2" t="s">
        <v>577</v>
      </c>
      <c r="E389" s="2">
        <v>1</v>
      </c>
      <c r="F389" s="2">
        <v>204</v>
      </c>
      <c r="G389" s="2">
        <v>0</v>
      </c>
      <c r="H389" s="2">
        <v>204</v>
      </c>
      <c r="I389" s="2">
        <v>13</v>
      </c>
      <c r="J389" s="2" t="s">
        <v>14</v>
      </c>
      <c r="K389" s="2">
        <f>VLOOKUP(A:A,[1]XuanStockQAResults!$A:$C,3,0)</f>
        <v>204</v>
      </c>
      <c r="L389" s="4">
        <f t="shared" ca="1" si="6"/>
        <v>0.3424065972212702</v>
      </c>
    </row>
    <row r="390" spans="1:12" x14ac:dyDescent="0.2">
      <c r="A390" s="2" t="s">
        <v>578</v>
      </c>
      <c r="B390" s="3">
        <v>46248.605555555558</v>
      </c>
      <c r="C390" s="2" t="s">
        <v>12</v>
      </c>
      <c r="D390" s="2" t="s">
        <v>579</v>
      </c>
      <c r="E390" s="2">
        <v>1</v>
      </c>
      <c r="F390" s="2">
        <v>19</v>
      </c>
      <c r="G390" s="2">
        <v>0</v>
      </c>
      <c r="H390" s="2">
        <v>19</v>
      </c>
      <c r="I390" s="2">
        <v>4</v>
      </c>
      <c r="J390" s="2" t="s">
        <v>14</v>
      </c>
      <c r="K390" s="2">
        <f>VLOOKUP(A:A,[1]XuanStockQAResults!$A:$C,3,0)</f>
        <v>19</v>
      </c>
      <c r="L390" s="4">
        <f t="shared" ca="1" si="6"/>
        <v>0.3437954861074104</v>
      </c>
    </row>
    <row r="391" spans="1:12" x14ac:dyDescent="0.2">
      <c r="A391" s="2" t="s">
        <v>580</v>
      </c>
      <c r="B391" s="3">
        <v>46239.554166666669</v>
      </c>
      <c r="C391" s="2" t="s">
        <v>10</v>
      </c>
      <c r="D391" s="2" t="s">
        <v>403</v>
      </c>
      <c r="E391" s="2">
        <v>2</v>
      </c>
      <c r="F391" s="2">
        <v>50</v>
      </c>
      <c r="G391" s="2">
        <v>0</v>
      </c>
      <c r="H391" s="2">
        <v>50</v>
      </c>
      <c r="I391" s="2">
        <v>5</v>
      </c>
      <c r="J391" s="2" t="s">
        <v>14</v>
      </c>
      <c r="K391" s="2">
        <f>VLOOKUP(A:A,[1]XuanStockQAResults!$A:$C,3,0)</f>
        <v>50</v>
      </c>
      <c r="L391" s="4">
        <f t="shared" ca="1" si="6"/>
        <v>9.395184374996461</v>
      </c>
    </row>
    <row r="392" spans="1:12" x14ac:dyDescent="0.2">
      <c r="A392" s="2" t="s">
        <v>581</v>
      </c>
      <c r="B392" s="3">
        <v>46216.408333333333</v>
      </c>
      <c r="C392" s="2" t="s">
        <v>10</v>
      </c>
      <c r="D392" s="2" t="s">
        <v>416</v>
      </c>
      <c r="E392" s="2">
        <v>3</v>
      </c>
      <c r="F392" s="2">
        <v>500</v>
      </c>
      <c r="G392" s="2">
        <v>0</v>
      </c>
      <c r="H392" s="2">
        <v>500</v>
      </c>
      <c r="I392" s="2">
        <v>30</v>
      </c>
      <c r="J392" s="2" t="s">
        <v>14</v>
      </c>
      <c r="K392" s="2">
        <f>VLOOKUP(A:A,[1]XuanStockQAResults!$A:$C,3,0)</f>
        <v>1500</v>
      </c>
      <c r="L392" s="4">
        <f t="shared" ca="1" si="6"/>
        <v>32.54101770833222</v>
      </c>
    </row>
    <row r="393" spans="1:12" x14ac:dyDescent="0.2">
      <c r="A393" s="2" t="s">
        <v>581</v>
      </c>
      <c r="B393" s="3">
        <v>46216.409722222219</v>
      </c>
      <c r="C393" s="2" t="s">
        <v>10</v>
      </c>
      <c r="D393" s="2" t="s">
        <v>582</v>
      </c>
      <c r="E393" s="2">
        <v>1</v>
      </c>
      <c r="F393" s="2">
        <v>1000</v>
      </c>
      <c r="G393" s="2">
        <v>0</v>
      </c>
      <c r="H393" s="2">
        <v>1000</v>
      </c>
      <c r="I393" s="2">
        <v>40</v>
      </c>
      <c r="J393" s="2" t="s">
        <v>14</v>
      </c>
      <c r="K393" s="2">
        <f>VLOOKUP(A:A,[1]XuanStockQAResults!$A:$C,3,0)</f>
        <v>1500</v>
      </c>
      <c r="L393" s="4">
        <f t="shared" ca="1" si="6"/>
        <v>32.539628819446079</v>
      </c>
    </row>
    <row r="394" spans="1:12" x14ac:dyDescent="0.2">
      <c r="A394" s="2" t="s">
        <v>583</v>
      </c>
      <c r="B394" s="3">
        <v>46239.555555555555</v>
      </c>
      <c r="C394" s="2" t="s">
        <v>10</v>
      </c>
      <c r="D394" s="2" t="s">
        <v>584</v>
      </c>
      <c r="E394" s="2">
        <v>1</v>
      </c>
      <c r="F394" s="2">
        <v>30</v>
      </c>
      <c r="G394" s="2">
        <v>0</v>
      </c>
      <c r="H394" s="2">
        <v>30</v>
      </c>
      <c r="I394" s="2">
        <v>3</v>
      </c>
      <c r="J394" s="2" t="s">
        <v>14</v>
      </c>
      <c r="K394" s="2">
        <f>VLOOKUP(A:A,[1]XuanStockQAResults!$A:$C,3,0)</f>
        <v>60</v>
      </c>
      <c r="L394" s="4">
        <f t="shared" ca="1" si="6"/>
        <v>9.3937954861103208</v>
      </c>
    </row>
    <row r="395" spans="1:12" x14ac:dyDescent="0.2">
      <c r="A395" s="2" t="s">
        <v>583</v>
      </c>
      <c r="B395" s="3">
        <v>46239.55972222222</v>
      </c>
      <c r="C395" s="2" t="s">
        <v>10</v>
      </c>
      <c r="D395" s="2" t="s">
        <v>585</v>
      </c>
      <c r="E395" s="2">
        <v>1</v>
      </c>
      <c r="F395" s="2">
        <v>30</v>
      </c>
      <c r="G395" s="2">
        <v>0</v>
      </c>
      <c r="H395" s="2">
        <v>30</v>
      </c>
      <c r="I395" s="2">
        <v>3</v>
      </c>
      <c r="J395" s="2" t="s">
        <v>14</v>
      </c>
      <c r="K395" s="2">
        <f>VLOOKUP(A:A,[1]XuanStockQAResults!$A:$C,3,0)</f>
        <v>60</v>
      </c>
      <c r="L395" s="4">
        <f t="shared" ca="1" si="6"/>
        <v>9.3896288194446242</v>
      </c>
    </row>
    <row r="396" spans="1:12" x14ac:dyDescent="0.2">
      <c r="A396" s="2" t="s">
        <v>586</v>
      </c>
      <c r="B396" s="3">
        <v>46216.416666666664</v>
      </c>
      <c r="C396" s="2" t="s">
        <v>10</v>
      </c>
      <c r="D396" s="2" t="s">
        <v>587</v>
      </c>
      <c r="E396" s="2">
        <v>3</v>
      </c>
      <c r="F396" s="2">
        <v>25</v>
      </c>
      <c r="G396" s="2">
        <v>0</v>
      </c>
      <c r="H396" s="2">
        <v>25</v>
      </c>
      <c r="I396" s="2">
        <v>3</v>
      </c>
      <c r="J396" s="2" t="s">
        <v>14</v>
      </c>
      <c r="K396" s="2">
        <f>VLOOKUP(A:A,[1]XuanStockQAResults!$A:$C,3,0)</f>
        <v>25</v>
      </c>
      <c r="L396" s="4">
        <f t="shared" ca="1" si="6"/>
        <v>32.532684375000827</v>
      </c>
    </row>
    <row r="397" spans="1:12" x14ac:dyDescent="0.2">
      <c r="A397" s="2" t="s">
        <v>588</v>
      </c>
      <c r="B397" s="3">
        <v>46247.398611111108</v>
      </c>
      <c r="C397" s="2" t="s">
        <v>12</v>
      </c>
      <c r="D397" s="2" t="s">
        <v>166</v>
      </c>
      <c r="E397" s="2">
        <v>2</v>
      </c>
      <c r="F397" s="2">
        <v>200</v>
      </c>
      <c r="G397" s="2">
        <v>0</v>
      </c>
      <c r="H397" s="2">
        <v>200</v>
      </c>
      <c r="I397" s="2">
        <v>16</v>
      </c>
      <c r="J397" s="2" t="s">
        <v>14</v>
      </c>
      <c r="K397" s="2">
        <f>VLOOKUP(A:A,[1]XuanStockQAResults!$A:$C,3,0)</f>
        <v>200</v>
      </c>
      <c r="L397" s="4">
        <f t="shared" ca="1" si="6"/>
        <v>1.5507399305570289</v>
      </c>
    </row>
    <row r="398" spans="1:12" x14ac:dyDescent="0.2">
      <c r="A398" s="2" t="s">
        <v>589</v>
      </c>
      <c r="B398" s="3">
        <v>46246.359027777777</v>
      </c>
      <c r="C398" s="2" t="s">
        <v>12</v>
      </c>
      <c r="D398" s="2" t="s">
        <v>159</v>
      </c>
      <c r="E398" s="2">
        <v>4</v>
      </c>
      <c r="F398" s="2">
        <v>20</v>
      </c>
      <c r="G398" s="2">
        <v>0</v>
      </c>
      <c r="H398" s="2">
        <v>20</v>
      </c>
      <c r="I398" s="2">
        <v>4</v>
      </c>
      <c r="J398" s="2" t="s">
        <v>14</v>
      </c>
      <c r="K398" s="2">
        <f>VLOOKUP(A:A,[1]XuanStockQAResults!$A:$C,3,0)</f>
        <v>20</v>
      </c>
      <c r="L398" s="4">
        <f t="shared" ca="1" si="6"/>
        <v>2.5903232638884219</v>
      </c>
    </row>
    <row r="399" spans="1:12" x14ac:dyDescent="0.2">
      <c r="A399" s="2" t="s">
        <v>590</v>
      </c>
      <c r="B399" s="3">
        <v>46247.559027777781</v>
      </c>
      <c r="C399" s="2" t="s">
        <v>12</v>
      </c>
      <c r="D399" s="2" t="s">
        <v>591</v>
      </c>
      <c r="E399" s="2">
        <v>1</v>
      </c>
      <c r="F399" s="2">
        <v>20</v>
      </c>
      <c r="G399" s="2">
        <v>0</v>
      </c>
      <c r="H399" s="2">
        <v>20</v>
      </c>
      <c r="I399" s="2">
        <v>4</v>
      </c>
      <c r="J399" s="2" t="s">
        <v>14</v>
      </c>
      <c r="K399" s="2">
        <f>VLOOKUP(A:A,[1]XuanStockQAResults!$A:$C,3,0)</f>
        <v>40</v>
      </c>
      <c r="L399" s="4">
        <f t="shared" ca="1" si="6"/>
        <v>1.3903232638840564</v>
      </c>
    </row>
    <row r="400" spans="1:12" x14ac:dyDescent="0.2">
      <c r="A400" s="2" t="s">
        <v>590</v>
      </c>
      <c r="B400" s="3">
        <v>46248.643055555556</v>
      </c>
      <c r="C400" s="2" t="s">
        <v>12</v>
      </c>
      <c r="D400" s="2" t="s">
        <v>592</v>
      </c>
      <c r="E400" s="2">
        <v>2</v>
      </c>
      <c r="F400" s="2">
        <v>20</v>
      </c>
      <c r="G400" s="2">
        <v>0</v>
      </c>
      <c r="H400" s="2">
        <v>20</v>
      </c>
      <c r="I400" s="2">
        <v>4</v>
      </c>
      <c r="J400" s="2" t="s">
        <v>14</v>
      </c>
      <c r="K400" s="2">
        <f>VLOOKUP(A:A,[1]XuanStockQAResults!$A:$C,3,0)</f>
        <v>40</v>
      </c>
      <c r="L400" s="4">
        <f t="shared" ca="1" si="6"/>
        <v>0.30629548610886559</v>
      </c>
    </row>
    <row r="401" spans="1:12" x14ac:dyDescent="0.2">
      <c r="A401" s="2" t="s">
        <v>593</v>
      </c>
      <c r="B401" s="3">
        <v>46248.643055555556</v>
      </c>
      <c r="C401" s="2" t="s">
        <v>12</v>
      </c>
      <c r="D401" s="2" t="s">
        <v>592</v>
      </c>
      <c r="E401" s="2">
        <v>1</v>
      </c>
      <c r="F401" s="2">
        <v>20</v>
      </c>
      <c r="G401" s="2">
        <v>0</v>
      </c>
      <c r="H401" s="2">
        <v>20</v>
      </c>
      <c r="I401" s="2">
        <v>4</v>
      </c>
      <c r="J401" s="2" t="s">
        <v>14</v>
      </c>
      <c r="K401" s="2">
        <f>VLOOKUP(A:A,[1]XuanStockQAResults!$A:$C,3,0)</f>
        <v>20</v>
      </c>
      <c r="L401" s="4">
        <f t="shared" ca="1" si="6"/>
        <v>0.30629548610886559</v>
      </c>
    </row>
    <row r="402" spans="1:12" x14ac:dyDescent="0.2">
      <c r="A402" s="2" t="s">
        <v>594</v>
      </c>
      <c r="B402" s="3">
        <v>46226.704861111109</v>
      </c>
      <c r="C402" s="2" t="s">
        <v>12</v>
      </c>
      <c r="D402" s="2" t="s">
        <v>595</v>
      </c>
      <c r="E402" s="2">
        <v>1</v>
      </c>
      <c r="F402" s="2">
        <v>50</v>
      </c>
      <c r="G402" s="2">
        <v>0</v>
      </c>
      <c r="H402" s="2">
        <v>50</v>
      </c>
      <c r="I402" s="2">
        <v>5</v>
      </c>
      <c r="J402" s="2" t="s">
        <v>14</v>
      </c>
      <c r="K402" s="2">
        <f>VLOOKUP(A:A,[1]XuanStockQAResults!$A:$C,3,0)</f>
        <v>50</v>
      </c>
      <c r="L402" s="4">
        <f t="shared" ca="1" si="6"/>
        <v>22.244489930555574</v>
      </c>
    </row>
    <row r="403" spans="1:12" x14ac:dyDescent="0.2">
      <c r="A403" s="2" t="s">
        <v>596</v>
      </c>
      <c r="B403" s="3">
        <v>46237.57916666667</v>
      </c>
      <c r="C403" s="2" t="s">
        <v>12</v>
      </c>
      <c r="D403" s="2" t="s">
        <v>597</v>
      </c>
      <c r="E403" s="2">
        <v>1</v>
      </c>
      <c r="F403" s="2">
        <v>5</v>
      </c>
      <c r="G403" s="2">
        <v>0</v>
      </c>
      <c r="H403" s="2">
        <v>5</v>
      </c>
      <c r="I403" s="2">
        <v>5</v>
      </c>
      <c r="J403" s="2" t="s">
        <v>14</v>
      </c>
      <c r="K403" s="2">
        <f>VLOOKUP(A:A,[1]XuanStockQAResults!$A:$C,3,0)</f>
        <v>5</v>
      </c>
      <c r="L403" s="4">
        <f t="shared" ca="1" si="6"/>
        <v>11.370184374995006</v>
      </c>
    </row>
    <row r="404" spans="1:12" x14ac:dyDescent="0.2">
      <c r="A404" s="2" t="s">
        <v>598</v>
      </c>
      <c r="B404" s="3">
        <v>46233.413194444445</v>
      </c>
      <c r="C404" s="2" t="s">
        <v>10</v>
      </c>
      <c r="D404" s="2" t="s">
        <v>599</v>
      </c>
      <c r="E404" s="2">
        <v>1</v>
      </c>
      <c r="F404" s="2">
        <v>240</v>
      </c>
      <c r="G404" s="2">
        <v>0</v>
      </c>
      <c r="H404" s="2">
        <v>240</v>
      </c>
      <c r="I404" s="2">
        <v>15</v>
      </c>
      <c r="J404" s="2" t="s">
        <v>14</v>
      </c>
      <c r="K404" s="2">
        <f>VLOOKUP(A:A,[1]XuanStockQAResults!$A:$C,3,0)</f>
        <v>240</v>
      </c>
      <c r="L404" s="4">
        <f t="shared" ca="1" si="6"/>
        <v>15.536156597219815</v>
      </c>
    </row>
    <row r="405" spans="1:12" x14ac:dyDescent="0.2">
      <c r="A405" s="2" t="s">
        <v>600</v>
      </c>
      <c r="B405" s="3">
        <v>46220.363194444442</v>
      </c>
      <c r="C405" s="2" t="s">
        <v>12</v>
      </c>
      <c r="D405" s="2" t="s">
        <v>601</v>
      </c>
      <c r="E405" s="2">
        <v>1</v>
      </c>
      <c r="F405" s="2">
        <v>200</v>
      </c>
      <c r="G405" s="2">
        <v>0</v>
      </c>
      <c r="H405" s="2">
        <v>200</v>
      </c>
      <c r="I405" s="2">
        <v>16</v>
      </c>
      <c r="J405" s="2" t="s">
        <v>14</v>
      </c>
      <c r="K405" s="2">
        <f>VLOOKUP(A:A,[1]XuanStockQAResults!$A:$C,3,0)</f>
        <v>200</v>
      </c>
      <c r="L405" s="4">
        <f t="shared" ca="1" si="6"/>
        <v>28.586156597222725</v>
      </c>
    </row>
    <row r="406" spans="1:12" x14ac:dyDescent="0.2">
      <c r="A406" s="2" t="s">
        <v>602</v>
      </c>
      <c r="B406" s="3">
        <v>46230.428472222222</v>
      </c>
      <c r="C406" s="2" t="s">
        <v>12</v>
      </c>
      <c r="D406" s="2" t="s">
        <v>603</v>
      </c>
      <c r="E406" s="2">
        <v>1</v>
      </c>
      <c r="F406" s="2">
        <v>70</v>
      </c>
      <c r="G406" s="2">
        <v>0</v>
      </c>
      <c r="H406" s="2">
        <v>70</v>
      </c>
      <c r="I406" s="2">
        <v>7</v>
      </c>
      <c r="J406" s="2" t="s">
        <v>14</v>
      </c>
      <c r="K406" s="2">
        <f>VLOOKUP(A:A,[1]XuanStockQAResults!$A:$C,3,0)</f>
        <v>373</v>
      </c>
      <c r="L406" s="4">
        <f t="shared" ca="1" si="6"/>
        <v>18.520878819443169</v>
      </c>
    </row>
    <row r="407" spans="1:12" x14ac:dyDescent="0.2">
      <c r="A407" s="2" t="s">
        <v>602</v>
      </c>
      <c r="B407" s="3">
        <v>46230.429166666669</v>
      </c>
      <c r="C407" s="2" t="s">
        <v>12</v>
      </c>
      <c r="D407" s="2" t="s">
        <v>604</v>
      </c>
      <c r="E407" s="2">
        <v>1</v>
      </c>
      <c r="F407" s="2">
        <v>77</v>
      </c>
      <c r="G407" s="2">
        <v>0</v>
      </c>
      <c r="H407" s="2">
        <v>77</v>
      </c>
      <c r="I407" s="2">
        <v>8</v>
      </c>
      <c r="J407" s="2" t="s">
        <v>14</v>
      </c>
      <c r="K407" s="2">
        <f>VLOOKUP(A:A,[1]XuanStockQAResults!$A:$C,3,0)</f>
        <v>373</v>
      </c>
      <c r="L407" s="4">
        <f t="shared" ca="1" si="6"/>
        <v>18.520184374996461</v>
      </c>
    </row>
    <row r="408" spans="1:12" x14ac:dyDescent="0.2">
      <c r="A408" s="2" t="s">
        <v>602</v>
      </c>
      <c r="B408" s="3">
        <v>46233.370833333334</v>
      </c>
      <c r="C408" s="2" t="s">
        <v>12</v>
      </c>
      <c r="D408" s="2" t="s">
        <v>605</v>
      </c>
      <c r="E408" s="2">
        <v>1</v>
      </c>
      <c r="F408" s="2">
        <v>28</v>
      </c>
      <c r="G408" s="2">
        <v>0</v>
      </c>
      <c r="H408" s="2">
        <v>28</v>
      </c>
      <c r="I408" s="2">
        <v>3</v>
      </c>
      <c r="J408" s="2" t="s">
        <v>14</v>
      </c>
      <c r="K408" s="2">
        <f>VLOOKUP(A:A,[1]XuanStockQAResults!$A:$C,3,0)</f>
        <v>373</v>
      </c>
      <c r="L408" s="4">
        <f t="shared" ca="1" si="6"/>
        <v>15.578517708330764</v>
      </c>
    </row>
    <row r="409" spans="1:12" x14ac:dyDescent="0.2">
      <c r="A409" s="2" t="s">
        <v>602</v>
      </c>
      <c r="B409" s="3">
        <v>46233.371527777781</v>
      </c>
      <c r="C409" s="2" t="s">
        <v>12</v>
      </c>
      <c r="D409" s="2" t="s">
        <v>606</v>
      </c>
      <c r="E409" s="2">
        <v>1</v>
      </c>
      <c r="F409" s="2">
        <v>44</v>
      </c>
      <c r="G409" s="2">
        <v>0</v>
      </c>
      <c r="H409" s="2">
        <v>44</v>
      </c>
      <c r="I409" s="2">
        <v>5</v>
      </c>
      <c r="J409" s="2" t="s">
        <v>14</v>
      </c>
      <c r="K409" s="2">
        <f>VLOOKUP(A:A,[1]XuanStockQAResults!$A:$C,3,0)</f>
        <v>373</v>
      </c>
      <c r="L409" s="4">
        <f t="shared" ca="1" si="6"/>
        <v>15.577823263884056</v>
      </c>
    </row>
    <row r="410" spans="1:12" x14ac:dyDescent="0.2">
      <c r="A410" s="2" t="s">
        <v>602</v>
      </c>
      <c r="B410" s="3">
        <v>46246.54791666667</v>
      </c>
      <c r="C410" s="2" t="s">
        <v>12</v>
      </c>
      <c r="D410" s="2" t="s">
        <v>607</v>
      </c>
      <c r="E410" s="2">
        <v>1</v>
      </c>
      <c r="F410" s="2">
        <v>154</v>
      </c>
      <c r="G410" s="2">
        <v>0</v>
      </c>
      <c r="H410" s="2">
        <v>154</v>
      </c>
      <c r="I410" s="2">
        <v>13</v>
      </c>
      <c r="J410" s="2" t="s">
        <v>14</v>
      </c>
      <c r="K410" s="2">
        <f>VLOOKUP(A:A,[1]XuanStockQAResults!$A:$C,3,0)</f>
        <v>373</v>
      </c>
      <c r="L410" s="4">
        <f t="shared" ca="1" si="6"/>
        <v>2.4014343749950058</v>
      </c>
    </row>
    <row r="411" spans="1:12" x14ac:dyDescent="0.2">
      <c r="A411" s="2" t="s">
        <v>608</v>
      </c>
      <c r="B411" s="3">
        <v>46216.421527777777</v>
      </c>
      <c r="C411" s="2" t="s">
        <v>12</v>
      </c>
      <c r="D411" s="2" t="s">
        <v>570</v>
      </c>
      <c r="E411" s="2">
        <v>3</v>
      </c>
      <c r="F411" s="2">
        <v>100</v>
      </c>
      <c r="G411" s="2">
        <v>0</v>
      </c>
      <c r="H411" s="2">
        <v>100</v>
      </c>
      <c r="I411" s="2">
        <v>10</v>
      </c>
      <c r="J411" s="2" t="s">
        <v>14</v>
      </c>
      <c r="K411" s="2">
        <f>VLOOKUP(A:A,[1]XuanStockQAResults!$A:$C,3,0)</f>
        <v>100</v>
      </c>
      <c r="L411" s="4">
        <f t="shared" ca="1" si="6"/>
        <v>32.527823263888422</v>
      </c>
    </row>
    <row r="412" spans="1:12" x14ac:dyDescent="0.2">
      <c r="A412" s="2" t="s">
        <v>609</v>
      </c>
      <c r="B412" s="3">
        <v>46247.395138888889</v>
      </c>
      <c r="C412" s="2" t="s">
        <v>10</v>
      </c>
      <c r="D412" s="2" t="s">
        <v>412</v>
      </c>
      <c r="E412" s="2">
        <v>3</v>
      </c>
      <c r="F412" s="2">
        <v>20</v>
      </c>
      <c r="G412" s="2">
        <v>0</v>
      </c>
      <c r="H412" s="2">
        <v>20</v>
      </c>
      <c r="I412" s="2">
        <v>4</v>
      </c>
      <c r="J412" s="2" t="s">
        <v>14</v>
      </c>
      <c r="K412" s="2">
        <f>VLOOKUP(A:A,[1]XuanStockQAResults!$A:$C,3,0)</f>
        <v>20</v>
      </c>
      <c r="L412" s="4">
        <f t="shared" ca="1" si="6"/>
        <v>1.5542121527760173</v>
      </c>
    </row>
    <row r="413" spans="1:12" x14ac:dyDescent="0.2">
      <c r="A413" s="2" t="s">
        <v>610</v>
      </c>
      <c r="B413" s="3">
        <v>46239.555555555555</v>
      </c>
      <c r="C413" s="2" t="s">
        <v>10</v>
      </c>
      <c r="D413" s="2" t="s">
        <v>584</v>
      </c>
      <c r="E413" s="2">
        <v>3</v>
      </c>
      <c r="F413" s="2">
        <v>50</v>
      </c>
      <c r="G413" s="2">
        <v>0</v>
      </c>
      <c r="H413" s="2">
        <v>50</v>
      </c>
      <c r="I413" s="2">
        <v>5</v>
      </c>
      <c r="J413" s="2" t="s">
        <v>14</v>
      </c>
      <c r="K413" s="2">
        <f>VLOOKUP(A:A,[1]XuanStockQAResults!$A:$C,3,0)</f>
        <v>50</v>
      </c>
      <c r="L413" s="4">
        <f t="shared" ca="1" si="6"/>
        <v>9.3937954861103208</v>
      </c>
    </row>
    <row r="414" spans="1:12" x14ac:dyDescent="0.2">
      <c r="A414" s="2" t="s">
        <v>611</v>
      </c>
      <c r="B414" s="3">
        <v>46239.555555555555</v>
      </c>
      <c r="C414" s="2" t="s">
        <v>10</v>
      </c>
      <c r="D414" s="2" t="s">
        <v>584</v>
      </c>
      <c r="E414" s="2">
        <v>4</v>
      </c>
      <c r="F414" s="2">
        <v>50</v>
      </c>
      <c r="G414" s="2">
        <v>0</v>
      </c>
      <c r="H414" s="2">
        <v>50</v>
      </c>
      <c r="I414" s="2">
        <v>5</v>
      </c>
      <c r="J414" s="2" t="s">
        <v>14</v>
      </c>
      <c r="K414" s="2">
        <f>VLOOKUP(A:A,[1]XuanStockQAResults!$A:$C,3,0)</f>
        <v>50</v>
      </c>
      <c r="L414" s="4">
        <f t="shared" ca="1" si="6"/>
        <v>9.3937954861103208</v>
      </c>
    </row>
    <row r="415" spans="1:12" x14ac:dyDescent="0.2">
      <c r="A415" s="2" t="s">
        <v>612</v>
      </c>
      <c r="B415" s="3">
        <v>46247.395138888889</v>
      </c>
      <c r="C415" s="2" t="s">
        <v>10</v>
      </c>
      <c r="D415" s="2" t="s">
        <v>412</v>
      </c>
      <c r="E415" s="2">
        <v>4</v>
      </c>
      <c r="F415" s="2">
        <v>30</v>
      </c>
      <c r="G415" s="2">
        <v>0</v>
      </c>
      <c r="H415" s="2">
        <v>30</v>
      </c>
      <c r="I415" s="2">
        <v>3</v>
      </c>
      <c r="J415" s="2" t="s">
        <v>14</v>
      </c>
      <c r="K415" s="2">
        <f>VLOOKUP(A:A,[1]XuanStockQAResults!$A:$C,3,0)</f>
        <v>30</v>
      </c>
      <c r="L415" s="4">
        <f t="shared" ca="1" si="6"/>
        <v>1.5542121527760173</v>
      </c>
    </row>
    <row r="416" spans="1:12" x14ac:dyDescent="0.2">
      <c r="A416" s="2" t="s">
        <v>613</v>
      </c>
      <c r="B416" s="3">
        <v>46239.558333333334</v>
      </c>
      <c r="C416" s="2" t="s">
        <v>10</v>
      </c>
      <c r="D416" s="2" t="s">
        <v>614</v>
      </c>
      <c r="E416" s="2">
        <v>1</v>
      </c>
      <c r="F416" s="2">
        <v>30</v>
      </c>
      <c r="G416" s="2">
        <v>0</v>
      </c>
      <c r="H416" s="2">
        <v>30</v>
      </c>
      <c r="I416" s="2">
        <v>3</v>
      </c>
      <c r="J416" s="2" t="s">
        <v>14</v>
      </c>
      <c r="K416" s="2">
        <f>VLOOKUP(A:A,[1]XuanStockQAResults!$A:$C,3,0)</f>
        <v>30</v>
      </c>
      <c r="L416" s="4">
        <f t="shared" ca="1" si="6"/>
        <v>9.3910177083307644</v>
      </c>
    </row>
    <row r="417" spans="1:12" x14ac:dyDescent="0.2">
      <c r="A417" s="2" t="s">
        <v>615</v>
      </c>
      <c r="B417" s="3">
        <v>46247.395138888889</v>
      </c>
      <c r="C417" s="2" t="s">
        <v>10</v>
      </c>
      <c r="D417" s="2" t="s">
        <v>412</v>
      </c>
      <c r="E417" s="2">
        <v>5</v>
      </c>
      <c r="F417" s="2">
        <v>30</v>
      </c>
      <c r="G417" s="2">
        <v>0</v>
      </c>
      <c r="H417" s="2">
        <v>30</v>
      </c>
      <c r="I417" s="2">
        <v>3</v>
      </c>
      <c r="J417" s="2" t="s">
        <v>14</v>
      </c>
      <c r="K417" s="2">
        <f>VLOOKUP(A:A,[1]XuanStockQAResults!$A:$C,3,0)</f>
        <v>30</v>
      </c>
      <c r="L417" s="4">
        <f t="shared" ca="1" si="6"/>
        <v>1.5542121527760173</v>
      </c>
    </row>
    <row r="418" spans="1:12" x14ac:dyDescent="0.2">
      <c r="A418" s="2" t="s">
        <v>616</v>
      </c>
      <c r="B418" s="3">
        <v>46239.558333333334</v>
      </c>
      <c r="C418" s="2" t="s">
        <v>10</v>
      </c>
      <c r="D418" s="2" t="s">
        <v>614</v>
      </c>
      <c r="E418" s="2">
        <v>2</v>
      </c>
      <c r="F418" s="2">
        <v>30</v>
      </c>
      <c r="G418" s="2">
        <v>0</v>
      </c>
      <c r="H418" s="2">
        <v>30</v>
      </c>
      <c r="I418" s="2">
        <v>3</v>
      </c>
      <c r="J418" s="2" t="s">
        <v>14</v>
      </c>
      <c r="K418" s="2">
        <f>VLOOKUP(A:A,[1]XuanStockQAResults!$A:$C,3,0)</f>
        <v>30</v>
      </c>
      <c r="L418" s="4">
        <f t="shared" ca="1" si="6"/>
        <v>9.3910177083307644</v>
      </c>
    </row>
    <row r="419" spans="1:12" x14ac:dyDescent="0.2">
      <c r="A419" s="2" t="s">
        <v>617</v>
      </c>
      <c r="B419" s="3">
        <v>46216.409722222219</v>
      </c>
      <c r="C419" s="2" t="s">
        <v>10</v>
      </c>
      <c r="D419" s="2" t="s">
        <v>582</v>
      </c>
      <c r="E419" s="2">
        <v>5</v>
      </c>
      <c r="F419" s="2">
        <v>100</v>
      </c>
      <c r="G419" s="2">
        <v>0</v>
      </c>
      <c r="H419" s="2">
        <v>100</v>
      </c>
      <c r="I419" s="2">
        <v>10</v>
      </c>
      <c r="J419" s="2" t="s">
        <v>14</v>
      </c>
      <c r="K419" s="2">
        <f>VLOOKUP(A:A,[1]XuanStockQAResults!$A:$C,3,0)</f>
        <v>200</v>
      </c>
      <c r="L419" s="4">
        <f t="shared" ca="1" si="6"/>
        <v>32.539628819446079</v>
      </c>
    </row>
    <row r="420" spans="1:12" x14ac:dyDescent="0.2">
      <c r="A420" s="2" t="s">
        <v>617</v>
      </c>
      <c r="B420" s="3">
        <v>46247.395138888889</v>
      </c>
      <c r="C420" s="2" t="s">
        <v>10</v>
      </c>
      <c r="D420" s="2" t="s">
        <v>412</v>
      </c>
      <c r="E420" s="2">
        <v>6</v>
      </c>
      <c r="F420" s="2">
        <v>100</v>
      </c>
      <c r="G420" s="2">
        <v>0</v>
      </c>
      <c r="H420" s="2">
        <v>100</v>
      </c>
      <c r="I420" s="2">
        <v>10</v>
      </c>
      <c r="J420" s="2" t="s">
        <v>14</v>
      </c>
      <c r="K420" s="2">
        <f>VLOOKUP(A:A,[1]XuanStockQAResults!$A:$C,3,0)</f>
        <v>200</v>
      </c>
      <c r="L420" s="4">
        <f t="shared" ca="1" si="6"/>
        <v>1.5542121527760173</v>
      </c>
    </row>
    <row r="421" spans="1:12" x14ac:dyDescent="0.2">
      <c r="A421" s="2" t="s">
        <v>618</v>
      </c>
      <c r="B421" s="3">
        <v>46233.533333333333</v>
      </c>
      <c r="C421" s="2" t="s">
        <v>12</v>
      </c>
      <c r="D421" s="2" t="s">
        <v>619</v>
      </c>
      <c r="E421" s="2">
        <v>1</v>
      </c>
      <c r="F421" s="2">
        <v>10</v>
      </c>
      <c r="G421" s="2">
        <v>0</v>
      </c>
      <c r="H421" s="2">
        <v>10</v>
      </c>
      <c r="I421" s="2">
        <v>5</v>
      </c>
      <c r="J421" s="2" t="s">
        <v>14</v>
      </c>
      <c r="K421" s="2">
        <f>VLOOKUP(A:A,[1]XuanStockQAResults!$A:$C,3,0)</f>
        <v>10</v>
      </c>
      <c r="L421" s="4">
        <f t="shared" ca="1" si="6"/>
        <v>15.41601770833222</v>
      </c>
    </row>
    <row r="422" spans="1:12" x14ac:dyDescent="0.2">
      <c r="A422" s="2" t="s">
        <v>620</v>
      </c>
      <c r="B422" s="3">
        <v>46207.440972222219</v>
      </c>
      <c r="C422" s="2" t="s">
        <v>10</v>
      </c>
      <c r="D422" s="2" t="s">
        <v>621</v>
      </c>
      <c r="E422" s="2">
        <v>1</v>
      </c>
      <c r="F422" s="2">
        <v>120</v>
      </c>
      <c r="G422" s="2">
        <v>0</v>
      </c>
      <c r="H422" s="2">
        <v>120</v>
      </c>
      <c r="I422" s="2">
        <v>10</v>
      </c>
      <c r="J422" s="2" t="s">
        <v>14</v>
      </c>
      <c r="K422" s="2">
        <f>VLOOKUP(A:A,[1]XuanStockQAResults!$A:$C,3,0)</f>
        <v>120</v>
      </c>
      <c r="L422" s="4">
        <f t="shared" ca="1" si="6"/>
        <v>41.508378819446079</v>
      </c>
    </row>
    <row r="423" spans="1:12" x14ac:dyDescent="0.2">
      <c r="A423" s="2" t="s">
        <v>622</v>
      </c>
      <c r="B423" s="3">
        <v>46210.311111111114</v>
      </c>
      <c r="C423" s="2" t="s">
        <v>10</v>
      </c>
      <c r="D423" s="2" t="s">
        <v>623</v>
      </c>
      <c r="E423" s="2">
        <v>1</v>
      </c>
      <c r="F423" s="2">
        <v>799</v>
      </c>
      <c r="G423" s="2">
        <v>0</v>
      </c>
      <c r="H423" s="2">
        <v>799</v>
      </c>
      <c r="I423" s="2">
        <v>32</v>
      </c>
      <c r="J423" s="2" t="s">
        <v>14</v>
      </c>
      <c r="K423" s="2">
        <f>VLOOKUP(A:A,[1]XuanStockQAResults!$A:$C,3,0)</f>
        <v>770</v>
      </c>
      <c r="L423" s="4">
        <f t="shared" ca="1" si="6"/>
        <v>38.638239930551208</v>
      </c>
    </row>
    <row r="424" spans="1:12" x14ac:dyDescent="0.2">
      <c r="A424" s="2" t="s">
        <v>622</v>
      </c>
      <c r="B424" s="3">
        <v>46214.60833333333</v>
      </c>
      <c r="C424" s="2" t="s">
        <v>10</v>
      </c>
      <c r="D424" s="2" t="s">
        <v>624</v>
      </c>
      <c r="E424" s="2">
        <v>1</v>
      </c>
      <c r="F424" s="2">
        <v>470</v>
      </c>
      <c r="G424" s="2">
        <v>0</v>
      </c>
      <c r="H424" s="2">
        <v>470</v>
      </c>
      <c r="I424" s="2">
        <v>29</v>
      </c>
      <c r="J424" s="2" t="s">
        <v>14</v>
      </c>
      <c r="K424" s="2">
        <f>VLOOKUP(A:A,[1]XuanStockQAResults!$A:$C,3,0)</f>
        <v>770</v>
      </c>
      <c r="L424" s="4">
        <f t="shared" ca="1" si="6"/>
        <v>34.34101770833513</v>
      </c>
    </row>
    <row r="425" spans="1:12" x14ac:dyDescent="0.2">
      <c r="A425" s="2" t="s">
        <v>622</v>
      </c>
      <c r="B425" s="3">
        <v>46219.574305555558</v>
      </c>
      <c r="C425" s="2" t="s">
        <v>10</v>
      </c>
      <c r="D425" s="2" t="s">
        <v>625</v>
      </c>
      <c r="E425" s="2">
        <v>1</v>
      </c>
      <c r="F425" s="2">
        <v>300</v>
      </c>
      <c r="G425" s="2">
        <v>0</v>
      </c>
      <c r="H425" s="2">
        <v>300</v>
      </c>
      <c r="I425" s="2">
        <v>18</v>
      </c>
      <c r="J425" s="2" t="s">
        <v>14</v>
      </c>
      <c r="K425" s="2">
        <f>VLOOKUP(A:A,[1]XuanStockQAResults!$A:$C,3,0)</f>
        <v>770</v>
      </c>
      <c r="L425" s="4">
        <f t="shared" ca="1" si="6"/>
        <v>29.37504548610741</v>
      </c>
    </row>
    <row r="426" spans="1:12" x14ac:dyDescent="0.2">
      <c r="A426" s="2" t="s">
        <v>626</v>
      </c>
      <c r="B426" s="3">
        <v>46205.520138888889</v>
      </c>
      <c r="C426" s="2" t="s">
        <v>12</v>
      </c>
      <c r="D426" s="2" t="s">
        <v>627</v>
      </c>
      <c r="E426" s="2">
        <v>1</v>
      </c>
      <c r="F426" s="2">
        <v>200</v>
      </c>
      <c r="G426" s="2">
        <v>50</v>
      </c>
      <c r="H426" s="2">
        <v>150</v>
      </c>
      <c r="I426" s="2">
        <v>200</v>
      </c>
      <c r="J426" s="2" t="s">
        <v>17</v>
      </c>
      <c r="K426" s="2">
        <f>VLOOKUP(A:A,[1]XuanStockQAResults!$A:$C,3,0)</f>
        <v>150</v>
      </c>
      <c r="L426" s="4">
        <f t="shared" ca="1" si="6"/>
        <v>43.429212152776017</v>
      </c>
    </row>
    <row r="427" spans="1:12" x14ac:dyDescent="0.2">
      <c r="A427" s="2" t="s">
        <v>628</v>
      </c>
      <c r="B427" s="3">
        <v>46211.672222222223</v>
      </c>
      <c r="C427" s="2" t="s">
        <v>10</v>
      </c>
      <c r="D427" s="2" t="s">
        <v>629</v>
      </c>
      <c r="E427" s="2">
        <v>9</v>
      </c>
      <c r="F427" s="2">
        <v>555</v>
      </c>
      <c r="G427" s="2">
        <v>0</v>
      </c>
      <c r="H427" s="2">
        <v>555</v>
      </c>
      <c r="I427" s="2">
        <v>23</v>
      </c>
      <c r="J427" s="2" t="s">
        <v>14</v>
      </c>
      <c r="K427" s="2">
        <f>VLOOKUP(A:A,[1]XuanStockQAResults!$A:$C,3,0)</f>
        <v>435.12</v>
      </c>
      <c r="L427" s="4">
        <f t="shared" ca="1" si="6"/>
        <v>37.277128819441714</v>
      </c>
    </row>
    <row r="428" spans="1:12" x14ac:dyDescent="0.2">
      <c r="A428" s="2" t="s">
        <v>628</v>
      </c>
      <c r="B428" s="3">
        <v>46211.67291666667</v>
      </c>
      <c r="C428" s="2" t="s">
        <v>10</v>
      </c>
      <c r="D428" s="2" t="s">
        <v>630</v>
      </c>
      <c r="E428" s="2">
        <v>6</v>
      </c>
      <c r="F428" s="2">
        <v>18.5</v>
      </c>
      <c r="G428" s="2">
        <v>0</v>
      </c>
      <c r="H428" s="2">
        <v>18.5</v>
      </c>
      <c r="I428" s="2">
        <v>4</v>
      </c>
      <c r="J428" s="2" t="s">
        <v>14</v>
      </c>
      <c r="K428" s="2">
        <f>VLOOKUP(A:A,[1]XuanStockQAResults!$A:$C,3,0)</f>
        <v>435.12</v>
      </c>
      <c r="L428" s="4">
        <f t="shared" ca="1" si="6"/>
        <v>37.276434374995006</v>
      </c>
    </row>
    <row r="429" spans="1:12" x14ac:dyDescent="0.2">
      <c r="A429" s="2" t="s">
        <v>628</v>
      </c>
      <c r="B429" s="3">
        <v>46231.696527777778</v>
      </c>
      <c r="C429" s="2" t="s">
        <v>10</v>
      </c>
      <c r="D429" s="2" t="s">
        <v>631</v>
      </c>
      <c r="E429" s="2">
        <v>9</v>
      </c>
      <c r="F429" s="2">
        <v>370</v>
      </c>
      <c r="G429" s="2">
        <v>0</v>
      </c>
      <c r="H429" s="2">
        <v>370</v>
      </c>
      <c r="I429" s="2">
        <v>23</v>
      </c>
      <c r="J429" s="2" t="s">
        <v>14</v>
      </c>
      <c r="K429" s="2">
        <f>VLOOKUP(A:A,[1]XuanStockQAResults!$A:$C,3,0)</f>
        <v>435.12</v>
      </c>
      <c r="L429" s="4">
        <f t="shared" ca="1" si="6"/>
        <v>17.252823263886967</v>
      </c>
    </row>
    <row r="430" spans="1:12" x14ac:dyDescent="0.2">
      <c r="A430" s="2" t="s">
        <v>628</v>
      </c>
      <c r="B430" s="3">
        <v>46231.697222222225</v>
      </c>
      <c r="C430" s="2" t="s">
        <v>10</v>
      </c>
      <c r="D430" s="2" t="s">
        <v>632</v>
      </c>
      <c r="E430" s="2">
        <v>6</v>
      </c>
      <c r="F430" s="2">
        <v>65.12</v>
      </c>
      <c r="G430" s="2">
        <v>0</v>
      </c>
      <c r="H430" s="2">
        <v>65.12</v>
      </c>
      <c r="I430" s="2">
        <v>7</v>
      </c>
      <c r="J430" s="2" t="s">
        <v>14</v>
      </c>
      <c r="K430" s="2">
        <f>VLOOKUP(A:A,[1]XuanStockQAResults!$A:$C,3,0)</f>
        <v>435.12</v>
      </c>
      <c r="L430" s="4">
        <f t="shared" ca="1" si="6"/>
        <v>17.252128819440259</v>
      </c>
    </row>
    <row r="431" spans="1:12" x14ac:dyDescent="0.2">
      <c r="A431" s="2" t="s">
        <v>633</v>
      </c>
      <c r="B431" s="3">
        <v>46231.559027777781</v>
      </c>
      <c r="C431" s="2" t="s">
        <v>12</v>
      </c>
      <c r="D431" s="2" t="s">
        <v>634</v>
      </c>
      <c r="E431" s="2">
        <v>1</v>
      </c>
      <c r="F431" s="2">
        <v>20</v>
      </c>
      <c r="G431" s="2">
        <v>0</v>
      </c>
      <c r="H431" s="2">
        <v>20</v>
      </c>
      <c r="I431" s="2">
        <v>4</v>
      </c>
      <c r="J431" s="2" t="s">
        <v>14</v>
      </c>
      <c r="K431" s="2">
        <f>VLOOKUP(A:A,[1]XuanStockQAResults!$A:$C,3,0)</f>
        <v>20</v>
      </c>
      <c r="L431" s="4">
        <f t="shared" ca="1" si="6"/>
        <v>17.390323263884056</v>
      </c>
    </row>
    <row r="432" spans="1:12" x14ac:dyDescent="0.2">
      <c r="A432" s="2" t="s">
        <v>635</v>
      </c>
      <c r="B432" s="3">
        <v>46248.645138888889</v>
      </c>
      <c r="C432" s="2" t="s">
        <v>12</v>
      </c>
      <c r="D432" s="2" t="s">
        <v>88</v>
      </c>
      <c r="E432" s="2">
        <v>2</v>
      </c>
      <c r="F432" s="2">
        <v>52</v>
      </c>
      <c r="G432" s="2">
        <v>0</v>
      </c>
      <c r="H432" s="2">
        <v>52</v>
      </c>
      <c r="I432" s="2">
        <v>6</v>
      </c>
      <c r="J432" s="2" t="s">
        <v>14</v>
      </c>
      <c r="K432" s="2">
        <f>VLOOKUP(A:A,[1]XuanStockQAResults!$A:$C,3,0)</f>
        <v>52</v>
      </c>
      <c r="L432" s="4">
        <f t="shared" ca="1" si="6"/>
        <v>0.30421215277601732</v>
      </c>
    </row>
    <row r="433" spans="1:12" x14ac:dyDescent="0.2">
      <c r="A433" s="2" t="s">
        <v>636</v>
      </c>
      <c r="B433" s="3">
        <v>46209.646527777775</v>
      </c>
      <c r="C433" s="2" t="s">
        <v>12</v>
      </c>
      <c r="D433" s="2" t="s">
        <v>637</v>
      </c>
      <c r="E433" s="2">
        <v>1</v>
      </c>
      <c r="F433" s="2">
        <v>350</v>
      </c>
      <c r="G433" s="2">
        <v>0</v>
      </c>
      <c r="H433" s="2">
        <v>350</v>
      </c>
      <c r="I433" s="2">
        <v>21</v>
      </c>
      <c r="J433" s="2" t="s">
        <v>14</v>
      </c>
      <c r="K433" s="2">
        <f>VLOOKUP(A:A,[1]XuanStockQAResults!$A:$C,3,0)</f>
        <v>350</v>
      </c>
      <c r="L433" s="4">
        <f t="shared" ca="1" si="6"/>
        <v>39.302823263889877</v>
      </c>
    </row>
    <row r="434" spans="1:12" x14ac:dyDescent="0.2">
      <c r="A434" s="2" t="s">
        <v>638</v>
      </c>
      <c r="B434" s="3">
        <v>46245.32708333333</v>
      </c>
      <c r="C434" s="2" t="s">
        <v>12</v>
      </c>
      <c r="D434" s="2" t="s">
        <v>559</v>
      </c>
      <c r="E434" s="2">
        <v>3</v>
      </c>
      <c r="F434" s="2">
        <v>1528</v>
      </c>
      <c r="G434" s="2">
        <v>0</v>
      </c>
      <c r="H434" s="2">
        <v>1528</v>
      </c>
      <c r="I434" s="2">
        <v>46</v>
      </c>
      <c r="J434" s="2" t="s">
        <v>14</v>
      </c>
      <c r="K434" s="2">
        <f>VLOOKUP(A:A,[1]XuanStockQAResults!$A:$C,3,0)</f>
        <v>1528</v>
      </c>
      <c r="L434" s="4">
        <f t="shared" ca="1" si="6"/>
        <v>3.62226770833513</v>
      </c>
    </row>
    <row r="435" spans="1:12" x14ac:dyDescent="0.2">
      <c r="A435" s="2" t="s">
        <v>639</v>
      </c>
      <c r="B435" s="3">
        <v>46220.359722222223</v>
      </c>
      <c r="C435" s="2" t="s">
        <v>12</v>
      </c>
      <c r="D435" s="2" t="s">
        <v>640</v>
      </c>
      <c r="E435" s="2">
        <v>1</v>
      </c>
      <c r="F435" s="2">
        <v>1050</v>
      </c>
      <c r="G435" s="2">
        <v>0</v>
      </c>
      <c r="H435" s="2">
        <v>1050</v>
      </c>
      <c r="I435" s="2">
        <v>32</v>
      </c>
      <c r="J435" s="2" t="s">
        <v>14</v>
      </c>
      <c r="K435" s="2">
        <f>VLOOKUP(A:A,[1]XuanStockQAResults!$A:$C,3,0)</f>
        <v>1087</v>
      </c>
      <c r="L435" s="4">
        <f t="shared" ca="1" si="6"/>
        <v>28.589628819441714</v>
      </c>
    </row>
    <row r="436" spans="1:12" x14ac:dyDescent="0.2">
      <c r="A436" s="2" t="s">
        <v>641</v>
      </c>
      <c r="B436" s="3">
        <v>46246.361111111109</v>
      </c>
      <c r="C436" s="2" t="s">
        <v>12</v>
      </c>
      <c r="D436" s="2" t="s">
        <v>642</v>
      </c>
      <c r="E436" s="2">
        <v>1</v>
      </c>
      <c r="F436" s="2">
        <v>100</v>
      </c>
      <c r="G436" s="2">
        <v>0</v>
      </c>
      <c r="H436" s="2">
        <v>100</v>
      </c>
      <c r="I436" s="2">
        <v>10</v>
      </c>
      <c r="J436" s="2" t="s">
        <v>14</v>
      </c>
      <c r="K436" s="2">
        <f>VLOOKUP(A:A,[1]XuanStockQAResults!$A:$C,3,0)</f>
        <v>102</v>
      </c>
      <c r="L436" s="4">
        <f t="shared" ca="1" si="6"/>
        <v>2.5882399305555737</v>
      </c>
    </row>
    <row r="437" spans="1:12" x14ac:dyDescent="0.2">
      <c r="A437" s="2" t="s">
        <v>643</v>
      </c>
      <c r="B437" s="3">
        <v>46207.572916666664</v>
      </c>
      <c r="C437" s="2" t="s">
        <v>12</v>
      </c>
      <c r="D437" s="2" t="s">
        <v>644</v>
      </c>
      <c r="E437" s="2">
        <v>13</v>
      </c>
      <c r="F437" s="2">
        <v>100</v>
      </c>
      <c r="G437" s="2">
        <v>0</v>
      </c>
      <c r="H437" s="2">
        <v>100</v>
      </c>
      <c r="I437" s="2">
        <v>10</v>
      </c>
      <c r="J437" s="2" t="s">
        <v>14</v>
      </c>
      <c r="K437" s="2">
        <f>VLOOKUP(A:A,[1]XuanStockQAResults!$A:$C,3,0)</f>
        <v>600</v>
      </c>
      <c r="L437" s="4">
        <f t="shared" ca="1" si="6"/>
        <v>41.376434375000827</v>
      </c>
    </row>
    <row r="438" spans="1:12" x14ac:dyDescent="0.2">
      <c r="A438" s="2" t="s">
        <v>643</v>
      </c>
      <c r="B438" s="3">
        <v>46207.572916666664</v>
      </c>
      <c r="C438" s="2" t="s">
        <v>12</v>
      </c>
      <c r="D438" s="2" t="s">
        <v>645</v>
      </c>
      <c r="E438" s="2">
        <v>19</v>
      </c>
      <c r="F438" s="2">
        <v>300</v>
      </c>
      <c r="G438" s="2">
        <v>0</v>
      </c>
      <c r="H438" s="2">
        <v>300</v>
      </c>
      <c r="I438" s="2">
        <v>18</v>
      </c>
      <c r="J438" s="2" t="s">
        <v>14</v>
      </c>
      <c r="K438" s="2">
        <f>VLOOKUP(A:A,[1]XuanStockQAResults!$A:$C,3,0)</f>
        <v>600</v>
      </c>
      <c r="L438" s="4">
        <f t="shared" ca="1" si="6"/>
        <v>41.376434375000827</v>
      </c>
    </row>
    <row r="439" spans="1:12" x14ac:dyDescent="0.2">
      <c r="A439" s="2" t="s">
        <v>643</v>
      </c>
      <c r="B439" s="3">
        <v>46216.363194444442</v>
      </c>
      <c r="C439" s="2" t="s">
        <v>12</v>
      </c>
      <c r="D439" s="2" t="s">
        <v>18</v>
      </c>
      <c r="E439" s="2">
        <v>12</v>
      </c>
      <c r="F439" s="2">
        <v>200</v>
      </c>
      <c r="G439" s="2">
        <v>0</v>
      </c>
      <c r="H439" s="2">
        <v>200</v>
      </c>
      <c r="I439" s="2">
        <v>16</v>
      </c>
      <c r="J439" s="2" t="s">
        <v>14</v>
      </c>
      <c r="K439" s="2">
        <f>VLOOKUP(A:A,[1]XuanStockQAResults!$A:$C,3,0)</f>
        <v>600</v>
      </c>
      <c r="L439" s="4">
        <f t="shared" ca="1" si="6"/>
        <v>32.586156597222725</v>
      </c>
    </row>
    <row r="440" spans="1:12" x14ac:dyDescent="0.2">
      <c r="A440" s="2" t="s">
        <v>646</v>
      </c>
      <c r="B440" s="3">
        <v>46247.634722222225</v>
      </c>
      <c r="C440" s="2" t="s">
        <v>10</v>
      </c>
      <c r="D440" s="2" t="s">
        <v>647</v>
      </c>
      <c r="E440" s="2">
        <v>1</v>
      </c>
      <c r="F440" s="2">
        <v>1</v>
      </c>
      <c r="G440" s="2">
        <v>0</v>
      </c>
      <c r="H440" s="2">
        <v>1</v>
      </c>
      <c r="I440" s="2">
        <v>1</v>
      </c>
      <c r="J440" s="2" t="s">
        <v>17</v>
      </c>
      <c r="K440" s="2">
        <f>VLOOKUP(A:A,[1]XuanStockQAResults!$A:$C,3,0)</f>
        <v>4</v>
      </c>
      <c r="L440" s="4">
        <f t="shared" ca="1" si="6"/>
        <v>1.3146288194402587</v>
      </c>
    </row>
    <row r="441" spans="1:12" x14ac:dyDescent="0.2">
      <c r="A441" s="2" t="s">
        <v>646</v>
      </c>
      <c r="B441" s="3">
        <v>46247.634722222225</v>
      </c>
      <c r="C441" s="2" t="s">
        <v>10</v>
      </c>
      <c r="D441" s="2" t="s">
        <v>648</v>
      </c>
      <c r="E441" s="2">
        <v>1</v>
      </c>
      <c r="F441" s="2">
        <v>3</v>
      </c>
      <c r="G441" s="2">
        <v>0</v>
      </c>
      <c r="H441" s="2">
        <v>3</v>
      </c>
      <c r="I441" s="2">
        <v>3</v>
      </c>
      <c r="J441" s="2" t="s">
        <v>17</v>
      </c>
      <c r="K441" s="2">
        <f>VLOOKUP(A:A,[1]XuanStockQAResults!$A:$C,3,0)</f>
        <v>4</v>
      </c>
      <c r="L441" s="4">
        <f t="shared" ca="1" si="6"/>
        <v>1.3146288194402587</v>
      </c>
    </row>
    <row r="442" spans="1:12" x14ac:dyDescent="0.2">
      <c r="A442" s="2" t="s">
        <v>649</v>
      </c>
      <c r="B442" s="3">
        <v>46247.397222222222</v>
      </c>
      <c r="C442" s="2" t="s">
        <v>12</v>
      </c>
      <c r="D442" s="2" t="s">
        <v>650</v>
      </c>
      <c r="E442" s="2">
        <v>1</v>
      </c>
      <c r="F442" s="2">
        <v>1500</v>
      </c>
      <c r="G442" s="2">
        <v>0</v>
      </c>
      <c r="H442" s="2">
        <v>1500</v>
      </c>
      <c r="I442" s="2">
        <v>45</v>
      </c>
      <c r="J442" s="2" t="s">
        <v>14</v>
      </c>
      <c r="K442" s="2">
        <f>VLOOKUP(A:A,[1]XuanStockQAResults!$A:$C,3,0)</f>
        <v>1500</v>
      </c>
      <c r="L442" s="4">
        <f t="shared" ca="1" si="6"/>
        <v>1.552128819443169</v>
      </c>
    </row>
    <row r="443" spans="1:12" x14ac:dyDescent="0.2">
      <c r="A443" s="2" t="s">
        <v>651</v>
      </c>
      <c r="B443" s="3">
        <v>46206.369444444441</v>
      </c>
      <c r="C443" s="2" t="s">
        <v>12</v>
      </c>
      <c r="D443" s="2" t="s">
        <v>652</v>
      </c>
      <c r="E443" s="2">
        <v>1</v>
      </c>
      <c r="F443" s="2">
        <v>50</v>
      </c>
      <c r="G443" s="2">
        <v>0</v>
      </c>
      <c r="H443" s="2">
        <v>50</v>
      </c>
      <c r="I443" s="2">
        <v>5</v>
      </c>
      <c r="J443" s="2" t="s">
        <v>14</v>
      </c>
      <c r="K443" s="2">
        <f>VLOOKUP(A:A,[1]XuanStockQAResults!$A:$C,3,0)</f>
        <v>50</v>
      </c>
      <c r="L443" s="4">
        <f t="shared" ca="1" si="6"/>
        <v>42.579906597224181</v>
      </c>
    </row>
    <row r="444" spans="1:12" x14ac:dyDescent="0.2">
      <c r="A444" s="2" t="s">
        <v>653</v>
      </c>
      <c r="B444" s="3">
        <v>46245.679861111108</v>
      </c>
      <c r="C444" s="2" t="s">
        <v>12</v>
      </c>
      <c r="D444" s="2" t="s">
        <v>654</v>
      </c>
      <c r="E444" s="2">
        <v>1</v>
      </c>
      <c r="F444" s="2">
        <v>105</v>
      </c>
      <c r="G444" s="2">
        <v>0</v>
      </c>
      <c r="H444" s="2">
        <v>105</v>
      </c>
      <c r="I444" s="2">
        <v>9</v>
      </c>
      <c r="J444" s="2" t="s">
        <v>14</v>
      </c>
      <c r="K444" s="2">
        <f>VLOOKUP(A:A,[1]XuanStockQAResults!$A:$C,3,0)</f>
        <v>105</v>
      </c>
      <c r="L444" s="4">
        <f t="shared" ca="1" si="6"/>
        <v>3.2694899305570289</v>
      </c>
    </row>
    <row r="445" spans="1:12" x14ac:dyDescent="0.2">
      <c r="A445" s="2" t="s">
        <v>655</v>
      </c>
      <c r="B445" s="3">
        <v>46237.647916666669</v>
      </c>
      <c r="C445" s="2" t="s">
        <v>10</v>
      </c>
      <c r="D445" s="2" t="s">
        <v>656</v>
      </c>
      <c r="E445" s="2">
        <v>1</v>
      </c>
      <c r="F445" s="2">
        <v>6</v>
      </c>
      <c r="G445" s="2">
        <v>0</v>
      </c>
      <c r="H445" s="2">
        <v>6</v>
      </c>
      <c r="I445" s="2">
        <v>3</v>
      </c>
      <c r="J445" s="2" t="s">
        <v>14</v>
      </c>
      <c r="K445" s="2">
        <f>VLOOKUP(A:A,[1]XuanStockQAResults!$A:$C,3,0)</f>
        <v>1</v>
      </c>
      <c r="L445" s="4">
        <f t="shared" ca="1" si="6"/>
        <v>11.301434374996461</v>
      </c>
    </row>
    <row r="446" spans="1:12" x14ac:dyDescent="0.2">
      <c r="A446" s="2" t="s">
        <v>657</v>
      </c>
      <c r="B446" s="3">
        <v>46247.398611111108</v>
      </c>
      <c r="C446" s="2" t="s">
        <v>12</v>
      </c>
      <c r="D446" s="2" t="s">
        <v>166</v>
      </c>
      <c r="E446" s="2">
        <v>3</v>
      </c>
      <c r="F446" s="2">
        <v>100</v>
      </c>
      <c r="G446" s="2">
        <v>0</v>
      </c>
      <c r="H446" s="2">
        <v>100</v>
      </c>
      <c r="I446" s="2">
        <v>10</v>
      </c>
      <c r="J446" s="2" t="s">
        <v>14</v>
      </c>
      <c r="K446" s="2">
        <f>VLOOKUP(A:A,[1]XuanStockQAResults!$A:$C,3,0)</f>
        <v>100</v>
      </c>
      <c r="L446" s="4">
        <f t="shared" ca="1" si="6"/>
        <v>1.5507399305570289</v>
      </c>
    </row>
    <row r="447" spans="1:12" x14ac:dyDescent="0.2">
      <c r="A447" s="2" t="s">
        <v>658</v>
      </c>
      <c r="B447" s="3">
        <v>46247.393750000003</v>
      </c>
      <c r="C447" s="2" t="s">
        <v>10</v>
      </c>
      <c r="D447" s="2" t="s">
        <v>659</v>
      </c>
      <c r="E447" s="2">
        <v>1</v>
      </c>
      <c r="F447" s="2">
        <v>200</v>
      </c>
      <c r="G447" s="2">
        <v>0</v>
      </c>
      <c r="H447" s="2">
        <v>200</v>
      </c>
      <c r="I447" s="2">
        <v>16</v>
      </c>
      <c r="J447" s="2" t="s">
        <v>14</v>
      </c>
      <c r="K447" s="2">
        <f>VLOOKUP(A:A,[1]XuanStockQAResults!$A:$C,3,0)</f>
        <v>200</v>
      </c>
      <c r="L447" s="4">
        <f t="shared" ca="1" si="6"/>
        <v>1.5556010416621575</v>
      </c>
    </row>
    <row r="448" spans="1:12" x14ac:dyDescent="0.2">
      <c r="A448" s="2" t="s">
        <v>660</v>
      </c>
      <c r="B448" s="3">
        <v>46234.643055555556</v>
      </c>
      <c r="C448" s="2" t="s">
        <v>12</v>
      </c>
      <c r="D448" s="2" t="s">
        <v>478</v>
      </c>
      <c r="E448" s="2">
        <v>5</v>
      </c>
      <c r="F448" s="2">
        <v>100</v>
      </c>
      <c r="G448" s="2">
        <v>0</v>
      </c>
      <c r="H448" s="2">
        <v>100</v>
      </c>
      <c r="I448" s="2">
        <v>10</v>
      </c>
      <c r="J448" s="2" t="s">
        <v>14</v>
      </c>
      <c r="K448" s="2">
        <f>VLOOKUP(A:A,[1]XuanStockQAResults!$A:$C,3,0)</f>
        <v>100</v>
      </c>
      <c r="L448" s="4">
        <f t="shared" ca="1" si="6"/>
        <v>14.306295486108866</v>
      </c>
    </row>
    <row r="449" spans="1:12" x14ac:dyDescent="0.2">
      <c r="A449" s="2" t="s">
        <v>661</v>
      </c>
      <c r="B449" s="3">
        <v>46207.51666666667</v>
      </c>
      <c r="C449" s="2" t="s">
        <v>10</v>
      </c>
      <c r="D449" s="2" t="s">
        <v>662</v>
      </c>
      <c r="E449" s="2">
        <v>1</v>
      </c>
      <c r="F449" s="2">
        <v>1732</v>
      </c>
      <c r="G449" s="2">
        <v>0</v>
      </c>
      <c r="H449" s="2">
        <v>1732</v>
      </c>
      <c r="I449" s="2">
        <v>52</v>
      </c>
      <c r="J449" s="2" t="s">
        <v>14</v>
      </c>
      <c r="K449" s="2">
        <f>VLOOKUP(A:A,[1]XuanStockQAResults!$A:$C,3,0)</f>
        <v>1732</v>
      </c>
      <c r="L449" s="4">
        <f t="shared" ca="1" si="6"/>
        <v>41.432684374995006</v>
      </c>
    </row>
    <row r="450" spans="1:12" x14ac:dyDescent="0.2">
      <c r="A450" s="2" t="s">
        <v>663</v>
      </c>
      <c r="B450" s="3">
        <v>46227.347916666666</v>
      </c>
      <c r="C450" s="2" t="s">
        <v>12</v>
      </c>
      <c r="D450" s="2" t="s">
        <v>664</v>
      </c>
      <c r="E450" s="2">
        <v>1</v>
      </c>
      <c r="F450" s="2">
        <v>100</v>
      </c>
      <c r="G450" s="2">
        <v>0</v>
      </c>
      <c r="H450" s="2">
        <v>100</v>
      </c>
      <c r="I450" s="2">
        <v>10</v>
      </c>
      <c r="J450" s="2" t="s">
        <v>14</v>
      </c>
      <c r="K450" s="2">
        <f>VLOOKUP(A:A,[1]XuanStockQAResults!$A:$C,3,0)</f>
        <v>105</v>
      </c>
      <c r="L450" s="4">
        <f t="shared" ca="1" si="6"/>
        <v>21.601434374999371</v>
      </c>
    </row>
    <row r="451" spans="1:12" x14ac:dyDescent="0.2">
      <c r="A451" s="2" t="s">
        <v>663</v>
      </c>
      <c r="B451" s="3">
        <v>46232.333333333336</v>
      </c>
      <c r="C451" s="2" t="s">
        <v>12</v>
      </c>
      <c r="D451" s="2" t="s">
        <v>665</v>
      </c>
      <c r="E451" s="2">
        <v>2</v>
      </c>
      <c r="F451" s="2">
        <v>5</v>
      </c>
      <c r="G451" s="2">
        <v>0</v>
      </c>
      <c r="H451" s="2">
        <v>5</v>
      </c>
      <c r="I451" s="2">
        <v>5</v>
      </c>
      <c r="J451" s="2" t="s">
        <v>14</v>
      </c>
      <c r="K451" s="2">
        <f>VLOOKUP(A:A,[1]XuanStockQAResults!$A:$C,3,0)</f>
        <v>105</v>
      </c>
      <c r="L451" s="4">
        <f t="shared" ref="L451:L508" ca="1" si="7">NOW()-B451</f>
        <v>16.616017708329309</v>
      </c>
    </row>
    <row r="452" spans="1:12" x14ac:dyDescent="0.2">
      <c r="A452" s="2" t="s">
        <v>666</v>
      </c>
      <c r="B452" s="3">
        <v>46246.656944444447</v>
      </c>
      <c r="C452" s="2" t="s">
        <v>12</v>
      </c>
      <c r="D452" s="2" t="s">
        <v>667</v>
      </c>
      <c r="E452" s="2">
        <v>1</v>
      </c>
      <c r="F452" s="2">
        <v>500</v>
      </c>
      <c r="G452" s="2">
        <v>0</v>
      </c>
      <c r="H452" s="2">
        <v>500</v>
      </c>
      <c r="I452" s="2">
        <v>30</v>
      </c>
      <c r="J452" s="2" t="s">
        <v>14</v>
      </c>
      <c r="K452" s="2">
        <f>VLOOKUP(A:A,[1]XuanStockQAResults!$A:$C,3,0)</f>
        <v>500</v>
      </c>
      <c r="L452" s="4">
        <f t="shared" ca="1" si="7"/>
        <v>2.2924065972183598</v>
      </c>
    </row>
    <row r="453" spans="1:12" x14ac:dyDescent="0.2">
      <c r="A453" s="2" t="s">
        <v>668</v>
      </c>
      <c r="B453" s="3">
        <v>46248.644444444442</v>
      </c>
      <c r="C453" s="2" t="s">
        <v>10</v>
      </c>
      <c r="D453" s="2" t="s">
        <v>553</v>
      </c>
      <c r="E453" s="2">
        <v>2</v>
      </c>
      <c r="F453" s="2">
        <v>262</v>
      </c>
      <c r="G453" s="2">
        <v>0</v>
      </c>
      <c r="H453" s="2">
        <v>262</v>
      </c>
      <c r="I453" s="2">
        <v>16</v>
      </c>
      <c r="J453" s="2" t="s">
        <v>14</v>
      </c>
      <c r="K453" s="2">
        <f>VLOOKUP(A:A,[1]XuanStockQAResults!$A:$C,3,0)</f>
        <v>262</v>
      </c>
      <c r="L453" s="4">
        <f t="shared" ca="1" si="7"/>
        <v>0.3049065972227254</v>
      </c>
    </row>
    <row r="454" spans="1:12" x14ac:dyDescent="0.2">
      <c r="A454" s="2" t="s">
        <v>669</v>
      </c>
      <c r="B454" s="3">
        <v>46247.398611111108</v>
      </c>
      <c r="C454" s="2" t="s">
        <v>12</v>
      </c>
      <c r="D454" s="2" t="s">
        <v>166</v>
      </c>
      <c r="E454" s="2">
        <v>4</v>
      </c>
      <c r="F454" s="2">
        <v>1200</v>
      </c>
      <c r="G454" s="2">
        <v>0</v>
      </c>
      <c r="H454" s="2">
        <v>1200</v>
      </c>
      <c r="I454" s="2">
        <v>36</v>
      </c>
      <c r="J454" s="2" t="s">
        <v>14</v>
      </c>
      <c r="K454" s="2">
        <f>VLOOKUP(A:A,[1]XuanStockQAResults!$A:$C,3,0)</f>
        <v>1200</v>
      </c>
      <c r="L454" s="4">
        <f t="shared" ca="1" si="7"/>
        <v>1.5507399305570289</v>
      </c>
    </row>
    <row r="455" spans="1:12" x14ac:dyDescent="0.2">
      <c r="A455" s="2" t="s">
        <v>670</v>
      </c>
      <c r="B455" s="3">
        <v>46211.353472222225</v>
      </c>
      <c r="C455" s="2" t="s">
        <v>10</v>
      </c>
      <c r="D455" s="2" t="s">
        <v>671</v>
      </c>
      <c r="E455" s="2">
        <v>1</v>
      </c>
      <c r="F455" s="2">
        <v>160</v>
      </c>
      <c r="G455" s="2">
        <v>0</v>
      </c>
      <c r="H455" s="2">
        <v>160</v>
      </c>
      <c r="I455" s="2">
        <v>13</v>
      </c>
      <c r="J455" s="2" t="s">
        <v>14</v>
      </c>
      <c r="K455" s="2">
        <f>VLOOKUP(A:A,[1]XuanStockQAResults!$A:$C,3,0)</f>
        <v>160</v>
      </c>
      <c r="L455" s="4">
        <f t="shared" ca="1" si="7"/>
        <v>37.595878819440259</v>
      </c>
    </row>
    <row r="456" spans="1:12" x14ac:dyDescent="0.2">
      <c r="A456" s="2" t="s">
        <v>672</v>
      </c>
      <c r="B456" s="3">
        <v>46246.348611111112</v>
      </c>
      <c r="C456" s="2" t="s">
        <v>12</v>
      </c>
      <c r="D456" s="2" t="s">
        <v>673</v>
      </c>
      <c r="E456" s="2">
        <v>1</v>
      </c>
      <c r="F456" s="2">
        <v>100</v>
      </c>
      <c r="G456" s="2">
        <v>0</v>
      </c>
      <c r="H456" s="2">
        <v>100</v>
      </c>
      <c r="I456" s="2">
        <v>10</v>
      </c>
      <c r="J456" s="2" t="s">
        <v>14</v>
      </c>
      <c r="K456" s="2">
        <f>VLOOKUP(A:A,[1]XuanStockQAResults!$A:$C,3,0)</f>
        <v>100</v>
      </c>
      <c r="L456" s="4">
        <f t="shared" ca="1" si="7"/>
        <v>2.6007399305526633</v>
      </c>
    </row>
    <row r="457" spans="1:12" x14ac:dyDescent="0.2">
      <c r="A457" s="2" t="s">
        <v>674</v>
      </c>
      <c r="B457" s="3">
        <v>46247.413888888892</v>
      </c>
      <c r="C457" s="2" t="s">
        <v>10</v>
      </c>
      <c r="D457" s="2" t="s">
        <v>675</v>
      </c>
      <c r="E457" s="2">
        <v>1</v>
      </c>
      <c r="F457" s="2">
        <v>40</v>
      </c>
      <c r="G457" s="2">
        <v>0</v>
      </c>
      <c r="H457" s="2">
        <v>40</v>
      </c>
      <c r="I457" s="2">
        <v>4</v>
      </c>
      <c r="J457" s="2" t="s">
        <v>14</v>
      </c>
      <c r="K457" s="2">
        <f>VLOOKUP(A:A,[1]XuanStockQAResults!$A:$C,3,0)</f>
        <v>40</v>
      </c>
      <c r="L457" s="4">
        <f t="shared" ca="1" si="7"/>
        <v>1.5354621527731069</v>
      </c>
    </row>
    <row r="458" spans="1:12" x14ac:dyDescent="0.2">
      <c r="A458" s="2" t="s">
        <v>676</v>
      </c>
      <c r="B458" s="3">
        <v>46248.643750000003</v>
      </c>
      <c r="C458" s="2" t="s">
        <v>12</v>
      </c>
      <c r="D458" s="2" t="s">
        <v>677</v>
      </c>
      <c r="E458" s="2">
        <v>1</v>
      </c>
      <c r="F458" s="2">
        <v>315</v>
      </c>
      <c r="G458" s="2">
        <v>0</v>
      </c>
      <c r="H458" s="2">
        <v>315</v>
      </c>
      <c r="I458" s="2">
        <v>19</v>
      </c>
      <c r="J458" s="2" t="s">
        <v>14</v>
      </c>
      <c r="K458" s="2">
        <f>VLOOKUP(A:A,[1]XuanStockQAResults!$A:$C,3,0)</f>
        <v>315</v>
      </c>
      <c r="L458" s="4">
        <f t="shared" ca="1" si="7"/>
        <v>0.30560104166215751</v>
      </c>
    </row>
    <row r="459" spans="1:12" x14ac:dyDescent="0.2">
      <c r="A459" s="2" t="s">
        <v>678</v>
      </c>
      <c r="B459" s="3">
        <v>46241.331250000003</v>
      </c>
      <c r="C459" s="2" t="s">
        <v>10</v>
      </c>
      <c r="D459" s="2" t="s">
        <v>679</v>
      </c>
      <c r="E459" s="2">
        <v>1</v>
      </c>
      <c r="F459" s="2">
        <v>160</v>
      </c>
      <c r="G459" s="2">
        <v>0</v>
      </c>
      <c r="H459" s="2">
        <v>160</v>
      </c>
      <c r="I459" s="2">
        <v>13</v>
      </c>
      <c r="J459" s="2" t="s">
        <v>14</v>
      </c>
      <c r="K459" s="2">
        <f>VLOOKUP(A:A,[1]XuanStockQAResults!$A:$C,3,0)</f>
        <v>160</v>
      </c>
      <c r="L459" s="4">
        <f t="shared" ca="1" si="7"/>
        <v>7.6181010416621575</v>
      </c>
    </row>
    <row r="460" spans="1:12" x14ac:dyDescent="0.2">
      <c r="A460" s="2" t="s">
        <v>680</v>
      </c>
      <c r="B460" s="3">
        <v>46214.575694444444</v>
      </c>
      <c r="C460" s="2" t="s">
        <v>10</v>
      </c>
      <c r="D460" s="2" t="s">
        <v>681</v>
      </c>
      <c r="E460" s="2">
        <v>1</v>
      </c>
      <c r="F460" s="2">
        <v>105</v>
      </c>
      <c r="G460" s="2">
        <v>0</v>
      </c>
      <c r="H460" s="2">
        <v>105</v>
      </c>
      <c r="I460" s="2">
        <v>9</v>
      </c>
      <c r="J460" s="2" t="s">
        <v>14</v>
      </c>
      <c r="K460" s="2">
        <f>VLOOKUP(A:A,[1]XuanStockQAResults!$A:$C,3,0)</f>
        <v>210</v>
      </c>
      <c r="L460" s="4">
        <f t="shared" ca="1" si="7"/>
        <v>34.37365659722127</v>
      </c>
    </row>
    <row r="461" spans="1:12" x14ac:dyDescent="0.2">
      <c r="A461" s="2" t="s">
        <v>680</v>
      </c>
      <c r="B461" s="3">
        <v>46214.588194444441</v>
      </c>
      <c r="C461" s="2" t="s">
        <v>10</v>
      </c>
      <c r="D461" s="2" t="s">
        <v>682</v>
      </c>
      <c r="E461" s="2">
        <v>1</v>
      </c>
      <c r="F461" s="2">
        <v>105</v>
      </c>
      <c r="G461" s="2">
        <v>0</v>
      </c>
      <c r="H461" s="2">
        <v>105</v>
      </c>
      <c r="I461" s="2">
        <v>9</v>
      </c>
      <c r="J461" s="2" t="s">
        <v>14</v>
      </c>
      <c r="K461" s="2">
        <f>VLOOKUP(A:A,[1]XuanStockQAResults!$A:$C,3,0)</f>
        <v>210</v>
      </c>
      <c r="L461" s="4">
        <f t="shared" ca="1" si="7"/>
        <v>34.361156597224181</v>
      </c>
    </row>
    <row r="462" spans="1:12" x14ac:dyDescent="0.2">
      <c r="A462" s="2" t="s">
        <v>683</v>
      </c>
      <c r="B462" s="3">
        <v>46225.371527777781</v>
      </c>
      <c r="C462" s="2" t="s">
        <v>10</v>
      </c>
      <c r="D462" s="2" t="s">
        <v>684</v>
      </c>
      <c r="E462" s="2">
        <v>1</v>
      </c>
      <c r="F462" s="2">
        <v>229</v>
      </c>
      <c r="G462" s="2">
        <v>0</v>
      </c>
      <c r="H462" s="2">
        <v>229</v>
      </c>
      <c r="I462" s="2">
        <v>14</v>
      </c>
      <c r="J462" s="2" t="s">
        <v>14</v>
      </c>
      <c r="K462" s="2">
        <f>VLOOKUP(A:A,[1]XuanStockQAResults!$A:$C,3,0)</f>
        <v>229</v>
      </c>
      <c r="L462" s="4">
        <f t="shared" ca="1" si="7"/>
        <v>23.577823263884056</v>
      </c>
    </row>
    <row r="463" spans="1:12" x14ac:dyDescent="0.2">
      <c r="A463" s="2" t="s">
        <v>685</v>
      </c>
      <c r="B463" s="3">
        <v>46247.397222222222</v>
      </c>
      <c r="C463" s="2" t="s">
        <v>12</v>
      </c>
      <c r="D463" s="2" t="s">
        <v>650</v>
      </c>
      <c r="E463" s="2">
        <v>2</v>
      </c>
      <c r="F463" s="2">
        <v>100</v>
      </c>
      <c r="G463" s="2">
        <v>0</v>
      </c>
      <c r="H463" s="2">
        <v>100</v>
      </c>
      <c r="I463" s="2">
        <v>10</v>
      </c>
      <c r="J463" s="2" t="s">
        <v>14</v>
      </c>
      <c r="K463" s="2">
        <f>VLOOKUP(A:A,[1]XuanStockQAResults!$A:$C,3,0)</f>
        <v>100</v>
      </c>
      <c r="L463" s="4">
        <f t="shared" ca="1" si="7"/>
        <v>1.552128819443169</v>
      </c>
    </row>
    <row r="464" spans="1:12" x14ac:dyDescent="0.2">
      <c r="A464" s="2" t="s">
        <v>686</v>
      </c>
      <c r="B464" s="3">
        <v>46231.552777777775</v>
      </c>
      <c r="C464" s="2" t="s">
        <v>12</v>
      </c>
      <c r="D464" s="2" t="s">
        <v>687</v>
      </c>
      <c r="E464" s="2">
        <v>1</v>
      </c>
      <c r="F464" s="2">
        <v>553</v>
      </c>
      <c r="G464" s="2">
        <v>0</v>
      </c>
      <c r="H464" s="2">
        <v>553</v>
      </c>
      <c r="I464" s="2">
        <v>23</v>
      </c>
      <c r="J464" s="2" t="s">
        <v>14</v>
      </c>
      <c r="K464" s="2">
        <f>VLOOKUP(A:A,[1]XuanStockQAResults!$A:$C,3,0)</f>
        <v>553</v>
      </c>
      <c r="L464" s="4">
        <f t="shared" ca="1" si="7"/>
        <v>17.396573263889877</v>
      </c>
    </row>
    <row r="465" spans="1:12" x14ac:dyDescent="0.2">
      <c r="A465" s="2" t="s">
        <v>688</v>
      </c>
      <c r="B465" s="3">
        <v>46248.643055555556</v>
      </c>
      <c r="C465" s="2" t="s">
        <v>10</v>
      </c>
      <c r="D465" s="2" t="s">
        <v>689</v>
      </c>
      <c r="E465" s="2">
        <v>1</v>
      </c>
      <c r="F465" s="2">
        <v>210</v>
      </c>
      <c r="G465" s="2">
        <v>0</v>
      </c>
      <c r="H465" s="2">
        <v>210</v>
      </c>
      <c r="I465" s="2">
        <v>13</v>
      </c>
      <c r="J465" s="2" t="s">
        <v>14</v>
      </c>
      <c r="K465" s="2">
        <f>VLOOKUP(A:A,[1]XuanStockQAResults!$A:$C,3,0)</f>
        <v>210</v>
      </c>
      <c r="L465" s="4">
        <f t="shared" ca="1" si="7"/>
        <v>0.30629548610886559</v>
      </c>
    </row>
    <row r="466" spans="1:12" x14ac:dyDescent="0.2">
      <c r="A466" s="2" t="s">
        <v>690</v>
      </c>
      <c r="B466" s="3">
        <v>46246.537499999999</v>
      </c>
      <c r="C466" s="2" t="s">
        <v>10</v>
      </c>
      <c r="D466" s="2" t="s">
        <v>691</v>
      </c>
      <c r="E466" s="2">
        <v>1</v>
      </c>
      <c r="F466" s="2">
        <v>69</v>
      </c>
      <c r="G466" s="2">
        <v>0</v>
      </c>
      <c r="H466" s="2">
        <v>69</v>
      </c>
      <c r="I466" s="2">
        <v>7</v>
      </c>
      <c r="J466" s="2" t="s">
        <v>14</v>
      </c>
      <c r="K466" s="2">
        <f>VLOOKUP(A:A,[1]XuanStockQAResults!$A:$C,3,0)</f>
        <v>69</v>
      </c>
      <c r="L466" s="4">
        <f t="shared" ca="1" si="7"/>
        <v>2.4118510416665231</v>
      </c>
    </row>
    <row r="467" spans="1:12" x14ac:dyDescent="0.2">
      <c r="A467" s="2" t="s">
        <v>692</v>
      </c>
      <c r="B467" s="3">
        <v>46233.36041666667</v>
      </c>
      <c r="C467" s="2" t="s">
        <v>12</v>
      </c>
      <c r="D467" s="2" t="s">
        <v>693</v>
      </c>
      <c r="E467" s="2">
        <v>1</v>
      </c>
      <c r="F467" s="2">
        <v>35</v>
      </c>
      <c r="G467" s="2">
        <v>0</v>
      </c>
      <c r="H467" s="2">
        <v>35</v>
      </c>
      <c r="I467" s="2">
        <v>4</v>
      </c>
      <c r="J467" s="2" t="s">
        <v>14</v>
      </c>
      <c r="K467" s="2">
        <f>VLOOKUP(A:A,[1]XuanStockQAResults!$A:$C,3,0)</f>
        <v>140</v>
      </c>
      <c r="L467" s="4">
        <f t="shared" ca="1" si="7"/>
        <v>15.588934374995006</v>
      </c>
    </row>
    <row r="468" spans="1:12" x14ac:dyDescent="0.2">
      <c r="A468" s="2" t="s">
        <v>692</v>
      </c>
      <c r="B468" s="3">
        <v>46241.409722222219</v>
      </c>
      <c r="C468" s="2" t="s">
        <v>12</v>
      </c>
      <c r="D468" s="2" t="s">
        <v>694</v>
      </c>
      <c r="E468" s="2">
        <v>3</v>
      </c>
      <c r="F468" s="2">
        <v>102</v>
      </c>
      <c r="G468" s="2">
        <v>0</v>
      </c>
      <c r="H468" s="2">
        <v>102</v>
      </c>
      <c r="I468" s="2">
        <v>9</v>
      </c>
      <c r="J468" s="2" t="s">
        <v>14</v>
      </c>
      <c r="K468" s="2">
        <f>VLOOKUP(A:A,[1]XuanStockQAResults!$A:$C,3,0)</f>
        <v>140</v>
      </c>
      <c r="L468" s="4">
        <f t="shared" ca="1" si="7"/>
        <v>7.5396288194460794</v>
      </c>
    </row>
    <row r="469" spans="1:12" x14ac:dyDescent="0.2">
      <c r="A469" s="2" t="s">
        <v>692</v>
      </c>
      <c r="B469" s="3">
        <v>46247.414583333331</v>
      </c>
      <c r="C469" s="2" t="s">
        <v>12</v>
      </c>
      <c r="D469" s="2" t="s">
        <v>695</v>
      </c>
      <c r="E469" s="2">
        <v>1</v>
      </c>
      <c r="F469" s="2">
        <v>3</v>
      </c>
      <c r="G469" s="2">
        <v>0</v>
      </c>
      <c r="H469" s="2">
        <v>3</v>
      </c>
      <c r="I469" s="2">
        <v>3</v>
      </c>
      <c r="J469" s="2" t="s">
        <v>14</v>
      </c>
      <c r="K469" s="2">
        <f>VLOOKUP(A:A,[1]XuanStockQAResults!$A:$C,3,0)</f>
        <v>140</v>
      </c>
      <c r="L469" s="4">
        <f t="shared" ca="1" si="7"/>
        <v>1.5347677083336748</v>
      </c>
    </row>
    <row r="470" spans="1:12" x14ac:dyDescent="0.2">
      <c r="A470" s="2" t="s">
        <v>696</v>
      </c>
      <c r="B470" s="3">
        <v>46226.677777777775</v>
      </c>
      <c r="C470" s="2" t="s">
        <v>12</v>
      </c>
      <c r="D470" s="2" t="s">
        <v>697</v>
      </c>
      <c r="E470" s="2">
        <v>3</v>
      </c>
      <c r="F470" s="2">
        <v>200</v>
      </c>
      <c r="G470" s="2">
        <v>0</v>
      </c>
      <c r="H470" s="2">
        <v>200</v>
      </c>
      <c r="I470" s="2">
        <v>16</v>
      </c>
      <c r="J470" s="2" t="s">
        <v>14</v>
      </c>
      <c r="K470" s="2">
        <f>VLOOKUP(A:A,[1]XuanStockQAResults!$A:$C,3,0)</f>
        <v>200</v>
      </c>
      <c r="L470" s="4">
        <f t="shared" ca="1" si="7"/>
        <v>22.271573263889877</v>
      </c>
    </row>
    <row r="471" spans="1:12" x14ac:dyDescent="0.2">
      <c r="A471" s="2" t="s">
        <v>698</v>
      </c>
      <c r="B471" s="3">
        <v>46248.636111111111</v>
      </c>
      <c r="C471" s="2" t="s">
        <v>10</v>
      </c>
      <c r="D471" s="2" t="s">
        <v>699</v>
      </c>
      <c r="E471" s="2">
        <v>1</v>
      </c>
      <c r="F471" s="2">
        <v>20</v>
      </c>
      <c r="G471" s="2">
        <v>0</v>
      </c>
      <c r="H471" s="2">
        <v>20</v>
      </c>
      <c r="I471" s="2">
        <v>4</v>
      </c>
      <c r="J471" s="2" t="s">
        <v>14</v>
      </c>
      <c r="K471" s="2">
        <f>VLOOKUP(A:A,[1]XuanStockQAResults!$A:$C,3,0)</f>
        <v>20</v>
      </c>
      <c r="L471" s="4">
        <f t="shared" ca="1" si="7"/>
        <v>0.31323993055411847</v>
      </c>
    </row>
    <row r="472" spans="1:12" x14ac:dyDescent="0.2">
      <c r="A472" s="2" t="s">
        <v>700</v>
      </c>
      <c r="B472" s="3">
        <v>46246.656944444447</v>
      </c>
      <c r="C472" s="2" t="s">
        <v>12</v>
      </c>
      <c r="D472" s="2" t="s">
        <v>701</v>
      </c>
      <c r="E472" s="2">
        <v>1</v>
      </c>
      <c r="F472" s="2">
        <v>200</v>
      </c>
      <c r="G472" s="2">
        <v>0</v>
      </c>
      <c r="H472" s="2">
        <v>200</v>
      </c>
      <c r="I472" s="2">
        <v>16</v>
      </c>
      <c r="J472" s="2" t="s">
        <v>14</v>
      </c>
      <c r="K472" s="2">
        <f>VLOOKUP(A:A,[1]XuanStockQAResults!$A:$C,3,0)</f>
        <v>200</v>
      </c>
      <c r="L472" s="4">
        <f t="shared" ca="1" si="7"/>
        <v>2.2924065972183598</v>
      </c>
    </row>
    <row r="473" spans="1:12" x14ac:dyDescent="0.2">
      <c r="A473" s="2" t="s">
        <v>702</v>
      </c>
      <c r="B473" s="3">
        <v>46234.643055555556</v>
      </c>
      <c r="C473" s="2" t="s">
        <v>12</v>
      </c>
      <c r="D473" s="2" t="s">
        <v>703</v>
      </c>
      <c r="E473" s="2">
        <v>2</v>
      </c>
      <c r="F473" s="2">
        <v>100</v>
      </c>
      <c r="G473" s="2">
        <v>0</v>
      </c>
      <c r="H473" s="2">
        <v>100</v>
      </c>
      <c r="I473" s="2">
        <v>10</v>
      </c>
      <c r="J473" s="2" t="s">
        <v>14</v>
      </c>
      <c r="K473" s="2">
        <f>VLOOKUP(A:A,[1]XuanStockQAResults!$A:$C,3,0)</f>
        <v>200</v>
      </c>
      <c r="L473" s="4">
        <f t="shared" ca="1" si="7"/>
        <v>14.306295486108866</v>
      </c>
    </row>
    <row r="474" spans="1:12" x14ac:dyDescent="0.2">
      <c r="A474" s="2" t="s">
        <v>702</v>
      </c>
      <c r="B474" s="3">
        <v>46234.643055555556</v>
      </c>
      <c r="C474" s="2" t="s">
        <v>12</v>
      </c>
      <c r="D474" s="2" t="s">
        <v>704</v>
      </c>
      <c r="E474" s="2">
        <v>1</v>
      </c>
      <c r="F474" s="2">
        <v>100</v>
      </c>
      <c r="G474" s="2">
        <v>0</v>
      </c>
      <c r="H474" s="2">
        <v>100</v>
      </c>
      <c r="I474" s="2">
        <v>10</v>
      </c>
      <c r="J474" s="2" t="s">
        <v>14</v>
      </c>
      <c r="K474" s="2">
        <f>VLOOKUP(A:A,[1]XuanStockQAResults!$A:$C,3,0)</f>
        <v>200</v>
      </c>
      <c r="L474" s="4">
        <f t="shared" ca="1" si="7"/>
        <v>14.306295486108866</v>
      </c>
    </row>
    <row r="475" spans="1:12" x14ac:dyDescent="0.2">
      <c r="A475" s="2" t="s">
        <v>705</v>
      </c>
      <c r="B475" s="3">
        <v>46230.597222222219</v>
      </c>
      <c r="C475" s="2" t="s">
        <v>12</v>
      </c>
      <c r="D475" s="2" t="s">
        <v>706</v>
      </c>
      <c r="E475" s="2">
        <v>1</v>
      </c>
      <c r="F475" s="2">
        <v>2</v>
      </c>
      <c r="G475" s="2">
        <v>0</v>
      </c>
      <c r="H475" s="2">
        <v>2</v>
      </c>
      <c r="I475" s="2">
        <v>2</v>
      </c>
      <c r="J475" s="2" t="s">
        <v>14</v>
      </c>
      <c r="K475" s="2">
        <f>VLOOKUP(A:A,[1]XuanStockQAResults!$A:$C,3,0)</f>
        <v>2</v>
      </c>
      <c r="L475" s="4">
        <f t="shared" ca="1" si="7"/>
        <v>18.352128819446079</v>
      </c>
    </row>
    <row r="476" spans="1:12" x14ac:dyDescent="0.2">
      <c r="A476" s="2" t="s">
        <v>707</v>
      </c>
      <c r="B476" s="3">
        <v>46221.338888888888</v>
      </c>
      <c r="C476" s="2" t="s">
        <v>12</v>
      </c>
      <c r="D476" s="2" t="s">
        <v>708</v>
      </c>
      <c r="E476" s="2">
        <v>2</v>
      </c>
      <c r="F476" s="2">
        <v>97</v>
      </c>
      <c r="G476" s="2">
        <v>0</v>
      </c>
      <c r="H476" s="2">
        <v>97</v>
      </c>
      <c r="I476" s="2">
        <v>10</v>
      </c>
      <c r="J476" s="2" t="s">
        <v>14</v>
      </c>
      <c r="K476" s="2">
        <f>VLOOKUP(A:A,[1]XuanStockQAResults!$A:$C,3,0)</f>
        <v>134</v>
      </c>
      <c r="L476" s="4">
        <f t="shared" ca="1" si="7"/>
        <v>27.610462152777473</v>
      </c>
    </row>
    <row r="477" spans="1:12" x14ac:dyDescent="0.2">
      <c r="A477" s="2" t="s">
        <v>707</v>
      </c>
      <c r="B477" s="3">
        <v>46227.64166666667</v>
      </c>
      <c r="C477" s="2" t="s">
        <v>12</v>
      </c>
      <c r="D477" s="2" t="s">
        <v>709</v>
      </c>
      <c r="E477" s="2">
        <v>2</v>
      </c>
      <c r="F477" s="2">
        <v>5</v>
      </c>
      <c r="G477" s="2">
        <v>0</v>
      </c>
      <c r="H477" s="2">
        <v>5</v>
      </c>
      <c r="I477" s="2">
        <v>5</v>
      </c>
      <c r="J477" s="2" t="s">
        <v>14</v>
      </c>
      <c r="K477" s="2">
        <f>VLOOKUP(A:A,[1]XuanStockQAResults!$A:$C,3,0)</f>
        <v>134</v>
      </c>
      <c r="L477" s="4">
        <f t="shared" ca="1" si="7"/>
        <v>21.307684374995006</v>
      </c>
    </row>
    <row r="478" spans="1:12" x14ac:dyDescent="0.2">
      <c r="A478" s="2" t="s">
        <v>710</v>
      </c>
      <c r="B478" s="3">
        <v>46213.59652777778</v>
      </c>
      <c r="C478" s="2" t="s">
        <v>12</v>
      </c>
      <c r="D478" s="2" t="s">
        <v>711</v>
      </c>
      <c r="E478" s="2">
        <v>4</v>
      </c>
      <c r="F478" s="2">
        <v>95</v>
      </c>
      <c r="G478" s="2">
        <v>0</v>
      </c>
      <c r="H478" s="2">
        <v>95</v>
      </c>
      <c r="I478" s="2">
        <v>10</v>
      </c>
      <c r="J478" s="2" t="s">
        <v>14</v>
      </c>
      <c r="K478" s="2">
        <f>VLOOKUP(A:A,[1]XuanStockQAResults!$A:$C,3,0)</f>
        <v>195</v>
      </c>
      <c r="L478" s="4">
        <f t="shared" ca="1" si="7"/>
        <v>35.352823263885512</v>
      </c>
    </row>
    <row r="479" spans="1:12" x14ac:dyDescent="0.2">
      <c r="A479" s="2" t="s">
        <v>710</v>
      </c>
      <c r="B479" s="3">
        <v>46213.605555555558</v>
      </c>
      <c r="C479" s="2" t="s">
        <v>12</v>
      </c>
      <c r="D479" s="2" t="s">
        <v>712</v>
      </c>
      <c r="E479" s="2">
        <v>2</v>
      </c>
      <c r="F479" s="2">
        <v>100</v>
      </c>
      <c r="G479" s="2">
        <v>0</v>
      </c>
      <c r="H479" s="2">
        <v>100</v>
      </c>
      <c r="I479" s="2">
        <v>10</v>
      </c>
      <c r="J479" s="2" t="s">
        <v>14</v>
      </c>
      <c r="K479" s="2">
        <f>VLOOKUP(A:A,[1]XuanStockQAResults!$A:$C,3,0)</f>
        <v>195</v>
      </c>
      <c r="L479" s="4">
        <f t="shared" ca="1" si="7"/>
        <v>35.34379548610741</v>
      </c>
    </row>
    <row r="480" spans="1:12" x14ac:dyDescent="0.2">
      <c r="A480" s="2" t="s">
        <v>713</v>
      </c>
      <c r="B480" s="3">
        <v>46237.44027777778</v>
      </c>
      <c r="C480" s="2" t="s">
        <v>12</v>
      </c>
      <c r="D480" s="2" t="s">
        <v>714</v>
      </c>
      <c r="E480" s="2">
        <v>1</v>
      </c>
      <c r="F480" s="2">
        <v>8</v>
      </c>
      <c r="G480" s="2">
        <v>0</v>
      </c>
      <c r="H480" s="2">
        <v>8</v>
      </c>
      <c r="I480" s="2">
        <v>4</v>
      </c>
      <c r="J480" s="2" t="s">
        <v>14</v>
      </c>
      <c r="K480" s="2">
        <f>VLOOKUP(A:A,[1]XuanStockQAResults!$A:$C,3,0)</f>
        <v>8</v>
      </c>
      <c r="L480" s="4">
        <f t="shared" ca="1" si="7"/>
        <v>11.509073263885512</v>
      </c>
    </row>
    <row r="481" spans="1:12" x14ac:dyDescent="0.2">
      <c r="A481" s="2" t="s">
        <v>715</v>
      </c>
      <c r="B481" s="3">
        <v>46240.340277777781</v>
      </c>
      <c r="C481" s="2" t="s">
        <v>12</v>
      </c>
      <c r="D481" s="2" t="s">
        <v>716</v>
      </c>
      <c r="E481" s="2">
        <v>1</v>
      </c>
      <c r="F481" s="2">
        <v>100</v>
      </c>
      <c r="G481" s="2">
        <v>0</v>
      </c>
      <c r="H481" s="2">
        <v>100</v>
      </c>
      <c r="I481" s="2">
        <v>10</v>
      </c>
      <c r="J481" s="2" t="s">
        <v>14</v>
      </c>
      <c r="K481" s="2">
        <f>VLOOKUP(A:A,[1]XuanStockQAResults!$A:$C,3,0)</f>
        <v>100</v>
      </c>
      <c r="L481" s="4">
        <f t="shared" ca="1" si="7"/>
        <v>8.6090732638840564</v>
      </c>
    </row>
    <row r="482" spans="1:12" x14ac:dyDescent="0.2">
      <c r="A482" s="2" t="s">
        <v>717</v>
      </c>
      <c r="B482" s="3">
        <v>46234.642361111109</v>
      </c>
      <c r="C482" s="2" t="s">
        <v>12</v>
      </c>
      <c r="D482" s="2" t="s">
        <v>718</v>
      </c>
      <c r="E482" s="2">
        <v>1</v>
      </c>
      <c r="F482" s="2">
        <v>150</v>
      </c>
      <c r="G482" s="2">
        <v>0</v>
      </c>
      <c r="H482" s="2">
        <v>150</v>
      </c>
      <c r="I482" s="2">
        <v>12</v>
      </c>
      <c r="J482" s="2" t="s">
        <v>14</v>
      </c>
      <c r="K482" s="2">
        <f>VLOOKUP(A:A,[1]XuanStockQAResults!$A:$C,3,0)</f>
        <v>650</v>
      </c>
      <c r="L482" s="4">
        <f t="shared" ca="1" si="7"/>
        <v>14.306989930555574</v>
      </c>
    </row>
    <row r="483" spans="1:12" x14ac:dyDescent="0.2">
      <c r="A483" s="2" t="s">
        <v>717</v>
      </c>
      <c r="B483" s="3">
        <v>46234.642361111109</v>
      </c>
      <c r="C483" s="2" t="s">
        <v>12</v>
      </c>
      <c r="D483" s="2" t="s">
        <v>719</v>
      </c>
      <c r="E483" s="2">
        <v>1</v>
      </c>
      <c r="F483" s="2">
        <v>500</v>
      </c>
      <c r="G483" s="2">
        <v>0</v>
      </c>
      <c r="H483" s="2">
        <v>500</v>
      </c>
      <c r="I483" s="2">
        <v>30</v>
      </c>
      <c r="J483" s="2" t="s">
        <v>14</v>
      </c>
      <c r="K483" s="2">
        <f>VLOOKUP(A:A,[1]XuanStockQAResults!$A:$C,3,0)</f>
        <v>650</v>
      </c>
      <c r="L483" s="4">
        <f t="shared" ca="1" si="7"/>
        <v>14.306989930555574</v>
      </c>
    </row>
    <row r="484" spans="1:12" x14ac:dyDescent="0.2">
      <c r="A484" s="2" t="s">
        <v>720</v>
      </c>
      <c r="B484" s="3">
        <v>46240.340277777781</v>
      </c>
      <c r="C484" s="2" t="s">
        <v>12</v>
      </c>
      <c r="D484" s="2" t="s">
        <v>716</v>
      </c>
      <c r="E484" s="2">
        <v>2</v>
      </c>
      <c r="F484" s="2">
        <v>250</v>
      </c>
      <c r="G484" s="2">
        <v>0</v>
      </c>
      <c r="H484" s="2">
        <v>250</v>
      </c>
      <c r="I484" s="2">
        <v>15</v>
      </c>
      <c r="J484" s="2" t="s">
        <v>14</v>
      </c>
      <c r="K484" s="2">
        <f>VLOOKUP(A:A,[1]XuanStockQAResults!$A:$C,3,0)</f>
        <v>500</v>
      </c>
      <c r="L484" s="4">
        <f t="shared" ca="1" si="7"/>
        <v>8.6090732638840564</v>
      </c>
    </row>
    <row r="485" spans="1:12" x14ac:dyDescent="0.2">
      <c r="A485" s="2" t="s">
        <v>720</v>
      </c>
      <c r="B485" s="3">
        <v>46240.340277777781</v>
      </c>
      <c r="C485" s="2" t="s">
        <v>12</v>
      </c>
      <c r="D485" s="2" t="s">
        <v>469</v>
      </c>
      <c r="E485" s="2">
        <v>3</v>
      </c>
      <c r="F485" s="2">
        <v>250</v>
      </c>
      <c r="G485" s="2">
        <v>0</v>
      </c>
      <c r="H485" s="2">
        <v>250</v>
      </c>
      <c r="I485" s="2">
        <v>15</v>
      </c>
      <c r="J485" s="2" t="s">
        <v>14</v>
      </c>
      <c r="K485" s="2">
        <f>VLOOKUP(A:A,[1]XuanStockQAResults!$A:$C,3,0)</f>
        <v>500</v>
      </c>
      <c r="L485" s="4">
        <f t="shared" ca="1" si="7"/>
        <v>8.6090732638840564</v>
      </c>
    </row>
    <row r="486" spans="1:12" x14ac:dyDescent="0.2">
      <c r="A486" s="2" t="s">
        <v>721</v>
      </c>
      <c r="B486" s="3">
        <v>46240.339583333334</v>
      </c>
      <c r="C486" s="2" t="s">
        <v>12</v>
      </c>
      <c r="D486" s="2" t="s">
        <v>722</v>
      </c>
      <c r="E486" s="2">
        <v>1</v>
      </c>
      <c r="F486" s="2">
        <v>10</v>
      </c>
      <c r="G486" s="2">
        <v>0</v>
      </c>
      <c r="H486" s="2">
        <v>10</v>
      </c>
      <c r="I486" s="2">
        <v>5</v>
      </c>
      <c r="J486" s="2" t="s">
        <v>14</v>
      </c>
      <c r="K486" s="2">
        <f>VLOOKUP(A:A,[1]XuanStockQAResults!$A:$C,3,0)</f>
        <v>260</v>
      </c>
      <c r="L486" s="4">
        <f t="shared" ca="1" si="7"/>
        <v>8.6097677083307644</v>
      </c>
    </row>
    <row r="487" spans="1:12" x14ac:dyDescent="0.2">
      <c r="A487" s="2" t="s">
        <v>721</v>
      </c>
      <c r="B487" s="3">
        <v>46240.340277777781</v>
      </c>
      <c r="C487" s="2" t="s">
        <v>12</v>
      </c>
      <c r="D487" s="2" t="s">
        <v>716</v>
      </c>
      <c r="E487" s="2">
        <v>3</v>
      </c>
      <c r="F487" s="2">
        <v>250</v>
      </c>
      <c r="G487" s="2">
        <v>0</v>
      </c>
      <c r="H487" s="2">
        <v>250</v>
      </c>
      <c r="I487" s="2">
        <v>15</v>
      </c>
      <c r="J487" s="2" t="s">
        <v>14</v>
      </c>
      <c r="K487" s="2">
        <f>VLOOKUP(A:A,[1]XuanStockQAResults!$A:$C,3,0)</f>
        <v>260</v>
      </c>
      <c r="L487" s="4">
        <f t="shared" ca="1" si="7"/>
        <v>8.6090732638840564</v>
      </c>
    </row>
    <row r="488" spans="1:12" x14ac:dyDescent="0.2">
      <c r="A488" s="2" t="s">
        <v>723</v>
      </c>
      <c r="B488" s="3">
        <v>46240.340277777781</v>
      </c>
      <c r="C488" s="2" t="s">
        <v>12</v>
      </c>
      <c r="D488" s="2" t="s">
        <v>716</v>
      </c>
      <c r="E488" s="2">
        <v>4</v>
      </c>
      <c r="F488" s="2">
        <v>250</v>
      </c>
      <c r="G488" s="2">
        <v>0</v>
      </c>
      <c r="H488" s="2">
        <v>250</v>
      </c>
      <c r="I488" s="2">
        <v>15</v>
      </c>
      <c r="J488" s="2" t="s">
        <v>14</v>
      </c>
      <c r="K488" s="2">
        <f>VLOOKUP(A:A,[1]XuanStockQAResults!$A:$C,3,0)</f>
        <v>250</v>
      </c>
      <c r="L488" s="4">
        <f t="shared" ca="1" si="7"/>
        <v>8.6090732638840564</v>
      </c>
    </row>
    <row r="489" spans="1:12" x14ac:dyDescent="0.2">
      <c r="A489" s="2" t="s">
        <v>724</v>
      </c>
      <c r="B489" s="3">
        <v>46240.340277777781</v>
      </c>
      <c r="C489" s="2" t="s">
        <v>12</v>
      </c>
      <c r="D489" s="2" t="s">
        <v>716</v>
      </c>
      <c r="E489" s="2">
        <v>5</v>
      </c>
      <c r="F489" s="2">
        <v>250</v>
      </c>
      <c r="G489" s="2">
        <v>0</v>
      </c>
      <c r="H489" s="2">
        <v>250</v>
      </c>
      <c r="I489" s="2">
        <v>15</v>
      </c>
      <c r="J489" s="2" t="s">
        <v>14</v>
      </c>
      <c r="K489" s="2">
        <f>VLOOKUP(A:A,[1]XuanStockQAResults!$A:$C,3,0)</f>
        <v>250</v>
      </c>
      <c r="L489" s="4">
        <f t="shared" ca="1" si="7"/>
        <v>8.6090732638840564</v>
      </c>
    </row>
    <row r="490" spans="1:12" x14ac:dyDescent="0.2">
      <c r="A490" s="2" t="s">
        <v>725</v>
      </c>
      <c r="B490" s="3">
        <v>46240.340277777781</v>
      </c>
      <c r="C490" s="2" t="s">
        <v>12</v>
      </c>
      <c r="D490" s="2" t="s">
        <v>716</v>
      </c>
      <c r="E490" s="2">
        <v>6</v>
      </c>
      <c r="F490" s="2">
        <v>250</v>
      </c>
      <c r="G490" s="2">
        <v>0</v>
      </c>
      <c r="H490" s="2">
        <v>250</v>
      </c>
      <c r="I490" s="2">
        <v>15</v>
      </c>
      <c r="J490" s="2" t="s">
        <v>14</v>
      </c>
      <c r="K490" s="2">
        <f>VLOOKUP(A:A,[1]XuanStockQAResults!$A:$C,3,0)</f>
        <v>250</v>
      </c>
      <c r="L490" s="4">
        <f t="shared" ca="1" si="7"/>
        <v>8.6090732638840564</v>
      </c>
    </row>
    <row r="491" spans="1:12" x14ac:dyDescent="0.2">
      <c r="A491" s="2" t="s">
        <v>726</v>
      </c>
      <c r="B491" s="3">
        <v>46240.340277777781</v>
      </c>
      <c r="C491" s="2" t="s">
        <v>12</v>
      </c>
      <c r="D491" s="2" t="s">
        <v>473</v>
      </c>
      <c r="E491" s="2">
        <v>6</v>
      </c>
      <c r="F491" s="2">
        <v>25</v>
      </c>
      <c r="G491" s="2">
        <v>0</v>
      </c>
      <c r="H491" s="2">
        <v>25</v>
      </c>
      <c r="I491" s="2">
        <v>3</v>
      </c>
      <c r="J491" s="2" t="s">
        <v>14</v>
      </c>
      <c r="K491" s="2">
        <f>VLOOKUP(A:A,[1]XuanStockQAResults!$A:$C,3,0)</f>
        <v>25</v>
      </c>
      <c r="L491" s="4">
        <f t="shared" ca="1" si="7"/>
        <v>8.6090732638840564</v>
      </c>
    </row>
    <row r="492" spans="1:12" x14ac:dyDescent="0.2">
      <c r="A492" s="2" t="s">
        <v>727</v>
      </c>
      <c r="B492" s="3">
        <v>46233.615972222222</v>
      </c>
      <c r="C492" s="2" t="s">
        <v>12</v>
      </c>
      <c r="D492" s="2" t="s">
        <v>728</v>
      </c>
      <c r="E492" s="2">
        <v>3</v>
      </c>
      <c r="F492" s="2">
        <v>50</v>
      </c>
      <c r="G492" s="2">
        <v>0</v>
      </c>
      <c r="H492" s="2">
        <v>50</v>
      </c>
      <c r="I492" s="2">
        <v>5</v>
      </c>
      <c r="J492" s="2" t="s">
        <v>14</v>
      </c>
      <c r="K492" s="2">
        <f>VLOOKUP(A:A,[1]XuanStockQAResults!$A:$C,3,0)</f>
        <v>50</v>
      </c>
      <c r="L492" s="4">
        <f t="shared" ca="1" si="7"/>
        <v>15.333378819443169</v>
      </c>
    </row>
    <row r="493" spans="1:12" x14ac:dyDescent="0.2">
      <c r="A493" s="2" t="s">
        <v>729</v>
      </c>
      <c r="B493" s="3">
        <v>46241.642361111109</v>
      </c>
      <c r="C493" s="2" t="s">
        <v>12</v>
      </c>
      <c r="D493" s="2" t="s">
        <v>150</v>
      </c>
      <c r="E493" s="2">
        <v>4</v>
      </c>
      <c r="F493" s="2">
        <v>50</v>
      </c>
      <c r="G493" s="2">
        <v>0</v>
      </c>
      <c r="H493" s="2">
        <v>50</v>
      </c>
      <c r="I493" s="2">
        <v>5</v>
      </c>
      <c r="J493" s="2" t="s">
        <v>14</v>
      </c>
      <c r="K493" s="2">
        <f>VLOOKUP(A:A,[1]XuanStockQAResults!$A:$C,3,0)</f>
        <v>50</v>
      </c>
      <c r="L493" s="4">
        <f t="shared" ca="1" si="7"/>
        <v>7.3069899305555737</v>
      </c>
    </row>
    <row r="494" spans="1:12" x14ac:dyDescent="0.2">
      <c r="A494" s="2" t="s">
        <v>730</v>
      </c>
      <c r="B494" s="3">
        <v>46240.339583333334</v>
      </c>
      <c r="C494" s="2" t="s">
        <v>12</v>
      </c>
      <c r="D494" s="2" t="s">
        <v>722</v>
      </c>
      <c r="E494" s="2">
        <v>2</v>
      </c>
      <c r="F494" s="2">
        <v>4</v>
      </c>
      <c r="G494" s="2">
        <v>0</v>
      </c>
      <c r="H494" s="2">
        <v>4</v>
      </c>
      <c r="I494" s="2">
        <v>4</v>
      </c>
      <c r="J494" s="2" t="s">
        <v>14</v>
      </c>
      <c r="K494" s="2">
        <f>VLOOKUP(A:A,[1]XuanStockQAResults!$A:$C,3,0)</f>
        <v>14</v>
      </c>
      <c r="L494" s="4">
        <f t="shared" ca="1" si="7"/>
        <v>8.6097677083307644</v>
      </c>
    </row>
    <row r="495" spans="1:12" x14ac:dyDescent="0.2">
      <c r="A495" s="2" t="s">
        <v>730</v>
      </c>
      <c r="B495" s="3">
        <v>46240.340277777781</v>
      </c>
      <c r="C495" s="2" t="s">
        <v>12</v>
      </c>
      <c r="D495" s="2" t="s">
        <v>512</v>
      </c>
      <c r="E495" s="2">
        <v>2</v>
      </c>
      <c r="F495" s="2">
        <v>10</v>
      </c>
      <c r="G495" s="2">
        <v>0</v>
      </c>
      <c r="H495" s="2">
        <v>10</v>
      </c>
      <c r="I495" s="2">
        <v>5</v>
      </c>
      <c r="J495" s="2" t="s">
        <v>14</v>
      </c>
      <c r="K495" s="2">
        <f>VLOOKUP(A:A,[1]XuanStockQAResults!$A:$C,3,0)</f>
        <v>14</v>
      </c>
      <c r="L495" s="4">
        <f t="shared" ca="1" si="7"/>
        <v>8.6090732638840564</v>
      </c>
    </row>
    <row r="496" spans="1:12" x14ac:dyDescent="0.2">
      <c r="A496" s="2" t="s">
        <v>731</v>
      </c>
      <c r="B496" s="3">
        <v>46240.340277777781</v>
      </c>
      <c r="C496" s="2" t="s">
        <v>12</v>
      </c>
      <c r="D496" s="2" t="s">
        <v>732</v>
      </c>
      <c r="E496" s="2">
        <v>1</v>
      </c>
      <c r="F496" s="2">
        <v>5</v>
      </c>
      <c r="G496" s="2">
        <v>0</v>
      </c>
      <c r="H496" s="2">
        <v>5</v>
      </c>
      <c r="I496" s="2">
        <v>5</v>
      </c>
      <c r="J496" s="2" t="s">
        <v>14</v>
      </c>
      <c r="K496" s="2">
        <f>VLOOKUP(A:A,[1]XuanStockQAResults!$A:$C,3,0)</f>
        <v>5</v>
      </c>
      <c r="L496" s="4">
        <f t="shared" ca="1" si="7"/>
        <v>8.6090732638840564</v>
      </c>
    </row>
    <row r="497" spans="1:12" x14ac:dyDescent="0.2">
      <c r="A497" s="2" t="s">
        <v>733</v>
      </c>
      <c r="B497" s="3">
        <v>46240.340277777781</v>
      </c>
      <c r="C497" s="2" t="s">
        <v>12</v>
      </c>
      <c r="D497" s="2" t="s">
        <v>734</v>
      </c>
      <c r="E497" s="2">
        <v>1</v>
      </c>
      <c r="F497" s="2">
        <v>10</v>
      </c>
      <c r="G497" s="2">
        <v>0</v>
      </c>
      <c r="H497" s="2">
        <v>10</v>
      </c>
      <c r="I497" s="2">
        <v>5</v>
      </c>
      <c r="J497" s="2" t="s">
        <v>14</v>
      </c>
      <c r="K497" s="2">
        <f>VLOOKUP(A:A,[1]XuanStockQAResults!$A:$C,3,0)</f>
        <v>10</v>
      </c>
      <c r="L497" s="4">
        <f t="shared" ca="1" si="7"/>
        <v>8.6090732638840564</v>
      </c>
    </row>
    <row r="498" spans="1:12" x14ac:dyDescent="0.2">
      <c r="A498" s="2" t="s">
        <v>735</v>
      </c>
      <c r="B498" s="3">
        <v>46216.636111111111</v>
      </c>
      <c r="C498" s="2" t="s">
        <v>12</v>
      </c>
      <c r="D498" s="2" t="s">
        <v>736</v>
      </c>
      <c r="E498" s="2">
        <v>1</v>
      </c>
      <c r="F498" s="2">
        <v>6</v>
      </c>
      <c r="G498" s="2">
        <v>0</v>
      </c>
      <c r="H498" s="2">
        <v>6</v>
      </c>
      <c r="I498" s="2">
        <v>3</v>
      </c>
      <c r="J498" s="2" t="s">
        <v>14</v>
      </c>
      <c r="K498" s="2">
        <f>VLOOKUP(A:A,[1]XuanStockQAResults!$A:$C,3,0)</f>
        <v>6</v>
      </c>
      <c r="L498" s="4">
        <f t="shared" ca="1" si="7"/>
        <v>32.313239930554118</v>
      </c>
    </row>
    <row r="499" spans="1:12" x14ac:dyDescent="0.2">
      <c r="A499" s="2" t="s">
        <v>737</v>
      </c>
      <c r="B499" s="3">
        <v>46238.568749999999</v>
      </c>
      <c r="C499" s="2" t="s">
        <v>12</v>
      </c>
      <c r="D499" s="2" t="s">
        <v>20</v>
      </c>
      <c r="E499" s="2">
        <v>18</v>
      </c>
      <c r="F499" s="2">
        <v>25</v>
      </c>
      <c r="G499" s="2">
        <v>0</v>
      </c>
      <c r="H499" s="2">
        <v>25</v>
      </c>
      <c r="I499" s="2">
        <v>3</v>
      </c>
      <c r="J499" s="2" t="s">
        <v>14</v>
      </c>
      <c r="K499" s="2">
        <f>VLOOKUP(A:A,[1]XuanStockQAResults!$A:$C,3,0)</f>
        <v>25</v>
      </c>
      <c r="L499" s="4">
        <f t="shared" ca="1" si="7"/>
        <v>10.380601041666523</v>
      </c>
    </row>
    <row r="500" spans="1:12" x14ac:dyDescent="0.2">
      <c r="A500" s="2" t="s">
        <v>738</v>
      </c>
      <c r="B500" s="3">
        <v>46238.568749999999</v>
      </c>
      <c r="C500" s="2" t="s">
        <v>12</v>
      </c>
      <c r="D500" s="2" t="s">
        <v>20</v>
      </c>
      <c r="E500" s="2">
        <v>19</v>
      </c>
      <c r="F500" s="2">
        <v>25</v>
      </c>
      <c r="G500" s="2">
        <v>0</v>
      </c>
      <c r="H500" s="2">
        <v>25</v>
      </c>
      <c r="I500" s="2">
        <v>3</v>
      </c>
      <c r="J500" s="2" t="s">
        <v>14</v>
      </c>
      <c r="K500" s="2">
        <f>VLOOKUP(A:A,[1]XuanStockQAResults!$A:$C,3,0)</f>
        <v>25</v>
      </c>
      <c r="L500" s="4">
        <f t="shared" ca="1" si="7"/>
        <v>10.380601041666523</v>
      </c>
    </row>
    <row r="501" spans="1:12" x14ac:dyDescent="0.2">
      <c r="A501" s="2" t="s">
        <v>739</v>
      </c>
      <c r="B501" s="3">
        <v>46240.340277777781</v>
      </c>
      <c r="C501" s="2" t="s">
        <v>12</v>
      </c>
      <c r="D501" s="2" t="s">
        <v>473</v>
      </c>
      <c r="E501" s="2">
        <v>7</v>
      </c>
      <c r="F501" s="2">
        <v>10</v>
      </c>
      <c r="G501" s="2">
        <v>0</v>
      </c>
      <c r="H501" s="2">
        <v>10</v>
      </c>
      <c r="I501" s="2">
        <v>5</v>
      </c>
      <c r="J501" s="2" t="s">
        <v>14</v>
      </c>
      <c r="K501" s="2">
        <f>VLOOKUP(A:A,[1]XuanStockQAResults!$A:$C,3,0)</f>
        <v>10</v>
      </c>
      <c r="L501" s="4">
        <f t="shared" ca="1" si="7"/>
        <v>8.6090732638840564</v>
      </c>
    </row>
    <row r="502" spans="1:12" x14ac:dyDescent="0.2">
      <c r="A502" s="2" t="s">
        <v>740</v>
      </c>
      <c r="B502" s="3">
        <v>46241.642361111109</v>
      </c>
      <c r="C502" s="2" t="s">
        <v>12</v>
      </c>
      <c r="D502" s="2" t="s">
        <v>741</v>
      </c>
      <c r="E502" s="2">
        <v>1</v>
      </c>
      <c r="F502" s="2">
        <v>200</v>
      </c>
      <c r="G502" s="2">
        <v>0</v>
      </c>
      <c r="H502" s="2">
        <v>200</v>
      </c>
      <c r="I502" s="2">
        <v>16</v>
      </c>
      <c r="J502" s="2" t="s">
        <v>14</v>
      </c>
      <c r="K502" s="2">
        <f>VLOOKUP(A:A,[1]XuanStockQAResults!$A:$C,3,0)</f>
        <v>200</v>
      </c>
      <c r="L502" s="4">
        <f t="shared" ca="1" si="7"/>
        <v>7.3069899305555737</v>
      </c>
    </row>
    <row r="503" spans="1:12" x14ac:dyDescent="0.2">
      <c r="A503" s="2" t="s">
        <v>742</v>
      </c>
      <c r="B503" s="3">
        <v>46231.59097222222</v>
      </c>
      <c r="C503" s="2" t="s">
        <v>12</v>
      </c>
      <c r="D503" s="2" t="s">
        <v>743</v>
      </c>
      <c r="E503" s="2">
        <v>1</v>
      </c>
      <c r="F503" s="2">
        <v>50</v>
      </c>
      <c r="G503" s="2">
        <v>0</v>
      </c>
      <c r="H503" s="2">
        <v>50</v>
      </c>
      <c r="I503" s="2">
        <v>5</v>
      </c>
      <c r="J503" s="2" t="s">
        <v>14</v>
      </c>
      <c r="K503" s="2">
        <f>VLOOKUP(A:A,[1]XuanStockQAResults!$A:$C,3,0)</f>
        <v>50</v>
      </c>
      <c r="L503" s="4">
        <f t="shared" ca="1" si="7"/>
        <v>17.358378819444624</v>
      </c>
    </row>
    <row r="504" spans="1:12" x14ac:dyDescent="0.2">
      <c r="A504" s="2" t="s">
        <v>744</v>
      </c>
      <c r="B504" s="3">
        <v>46211.59097222222</v>
      </c>
      <c r="C504" s="2" t="s">
        <v>12</v>
      </c>
      <c r="D504" s="2" t="s">
        <v>745</v>
      </c>
      <c r="E504" s="2">
        <v>2</v>
      </c>
      <c r="F504" s="2">
        <v>156</v>
      </c>
      <c r="G504" s="2">
        <v>0</v>
      </c>
      <c r="H504" s="2">
        <v>156</v>
      </c>
      <c r="I504" s="2">
        <v>13</v>
      </c>
      <c r="J504" s="2" t="s">
        <v>14</v>
      </c>
      <c r="K504" s="2">
        <f>VLOOKUP(A:A,[1]XuanStockQAResults!$A:$C,3,0)</f>
        <v>156</v>
      </c>
      <c r="L504" s="4">
        <f t="shared" ca="1" si="7"/>
        <v>37.358378819444624</v>
      </c>
    </row>
    <row r="505" spans="1:12" x14ac:dyDescent="0.2">
      <c r="A505" s="2" t="s">
        <v>746</v>
      </c>
      <c r="B505" s="3">
        <v>46211.59097222222</v>
      </c>
      <c r="C505" s="2" t="s">
        <v>12</v>
      </c>
      <c r="D505" s="2" t="s">
        <v>745</v>
      </c>
      <c r="E505" s="2">
        <v>1</v>
      </c>
      <c r="F505" s="2">
        <v>156</v>
      </c>
      <c r="G505" s="2">
        <v>0</v>
      </c>
      <c r="H505" s="2">
        <v>156</v>
      </c>
      <c r="I505" s="2">
        <v>13</v>
      </c>
      <c r="J505" s="2" t="s">
        <v>14</v>
      </c>
      <c r="K505" s="2">
        <f>VLOOKUP(A:A,[1]XuanStockQAResults!$A:$C,3,0)</f>
        <v>175</v>
      </c>
      <c r="L505" s="4">
        <f t="shared" ca="1" si="7"/>
        <v>37.358378819444624</v>
      </c>
    </row>
    <row r="506" spans="1:12" x14ac:dyDescent="0.2">
      <c r="A506" s="2" t="s">
        <v>746</v>
      </c>
      <c r="B506" s="3">
        <v>46211.59097222222</v>
      </c>
      <c r="C506" s="2" t="s">
        <v>12</v>
      </c>
      <c r="D506" s="2" t="s">
        <v>747</v>
      </c>
      <c r="E506" s="2">
        <v>1</v>
      </c>
      <c r="F506" s="2">
        <v>19</v>
      </c>
      <c r="G506" s="2">
        <v>0</v>
      </c>
      <c r="H506" s="2">
        <v>19</v>
      </c>
      <c r="I506" s="2">
        <v>4</v>
      </c>
      <c r="J506" s="2" t="s">
        <v>14</v>
      </c>
      <c r="K506" s="2">
        <f>VLOOKUP(A:A,[1]XuanStockQAResults!$A:$C,3,0)</f>
        <v>175</v>
      </c>
      <c r="L506" s="4">
        <f t="shared" ca="1" si="7"/>
        <v>37.358378819444624</v>
      </c>
    </row>
    <row r="507" spans="1:12" x14ac:dyDescent="0.2">
      <c r="A507" s="2" t="s">
        <v>748</v>
      </c>
      <c r="B507" s="3">
        <v>46247.602083333331</v>
      </c>
      <c r="C507" s="2" t="s">
        <v>12</v>
      </c>
      <c r="D507" s="2" t="s">
        <v>749</v>
      </c>
      <c r="E507" s="2">
        <v>1</v>
      </c>
      <c r="F507" s="2">
        <v>176</v>
      </c>
      <c r="G507" s="2">
        <v>0</v>
      </c>
      <c r="H507" s="2">
        <v>176</v>
      </c>
      <c r="I507" s="2">
        <v>15</v>
      </c>
      <c r="J507" s="2" t="s">
        <v>14</v>
      </c>
      <c r="K507" s="2">
        <f>VLOOKUP(A:A,[1]XuanStockQAResults!$A:$C,3,0)</f>
        <v>176</v>
      </c>
      <c r="L507" s="4">
        <f t="shared" ca="1" si="7"/>
        <v>1.3472677083336748</v>
      </c>
    </row>
    <row r="508" spans="1:12" x14ac:dyDescent="0.2">
      <c r="A508" s="2" t="s">
        <v>750</v>
      </c>
      <c r="B508" s="3">
        <v>46247.602083333331</v>
      </c>
      <c r="C508" s="2" t="s">
        <v>12</v>
      </c>
      <c r="D508" s="2" t="s">
        <v>749</v>
      </c>
      <c r="E508" s="2">
        <v>2</v>
      </c>
      <c r="F508" s="2">
        <v>171</v>
      </c>
      <c r="G508" s="2">
        <v>0</v>
      </c>
      <c r="H508" s="2">
        <v>171</v>
      </c>
      <c r="I508" s="2">
        <v>14</v>
      </c>
      <c r="J508" s="2" t="s">
        <v>14</v>
      </c>
      <c r="K508" s="2">
        <f>VLOOKUP(A:A,[1]XuanStockQAResults!$A:$C,3,0)</f>
        <v>171</v>
      </c>
      <c r="L508" s="4">
        <f t="shared" ca="1" si="7"/>
        <v>1.3472677083336748</v>
      </c>
    </row>
  </sheetData>
  <autoFilter ref="A1:L50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Administrator</cp:lastModifiedBy>
  <dcterms:created xsi:type="dcterms:W3CDTF">2026-08-14T15:00:41Z</dcterms:created>
  <dcterms:modified xsi:type="dcterms:W3CDTF">2026-08-14T15:47:03Z</dcterms:modified>
</cp:coreProperties>
</file>